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mc\Downloads\"/>
    </mc:Choice>
  </mc:AlternateContent>
  <xr:revisionPtr revIDLastSave="0" documentId="11_B4658FD918B07AC91C8A634762F9D9F4974C6480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Raw Data" sheetId="1" r:id="rId1"/>
    <sheet name="At-Risk Identification" sheetId="2" r:id="rId2"/>
    <sheet name="Consolidated Repor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3" i="3" l="1"/>
  <c r="G53" i="3"/>
  <c r="D53" i="3"/>
  <c r="C53" i="3"/>
  <c r="B53" i="3"/>
  <c r="A53" i="3"/>
  <c r="H52" i="3"/>
  <c r="G52" i="3"/>
  <c r="D52" i="3"/>
  <c r="C52" i="3"/>
  <c r="B52" i="3"/>
  <c r="A52" i="3"/>
  <c r="H51" i="3"/>
  <c r="G51" i="3"/>
  <c r="D51" i="3"/>
  <c r="C51" i="3"/>
  <c r="B51" i="3"/>
  <c r="A51" i="3"/>
  <c r="H50" i="3"/>
  <c r="G50" i="3"/>
  <c r="F50" i="3"/>
  <c r="D50" i="3"/>
  <c r="C50" i="3"/>
  <c r="B50" i="3"/>
  <c r="A50" i="3"/>
  <c r="H49" i="3"/>
  <c r="G49" i="3"/>
  <c r="D49" i="3"/>
  <c r="C49" i="3"/>
  <c r="B49" i="3"/>
  <c r="A49" i="3"/>
  <c r="H48" i="3"/>
  <c r="G48" i="3"/>
  <c r="E48" i="3"/>
  <c r="D48" i="3"/>
  <c r="C48" i="3"/>
  <c r="B48" i="3"/>
  <c r="A48" i="3"/>
  <c r="H47" i="3"/>
  <c r="G47" i="3"/>
  <c r="E47" i="3"/>
  <c r="D47" i="3"/>
  <c r="C47" i="3"/>
  <c r="B47" i="3"/>
  <c r="A47" i="3"/>
  <c r="H46" i="3"/>
  <c r="G46" i="3"/>
  <c r="F46" i="3"/>
  <c r="D46" i="3"/>
  <c r="C46" i="3"/>
  <c r="B46" i="3"/>
  <c r="A46" i="3"/>
  <c r="H45" i="3"/>
  <c r="G45" i="3"/>
  <c r="D45" i="3"/>
  <c r="C45" i="3"/>
  <c r="B45" i="3"/>
  <c r="A45" i="3"/>
  <c r="H44" i="3"/>
  <c r="G44" i="3"/>
  <c r="D44" i="3"/>
  <c r="C44" i="3"/>
  <c r="B44" i="3"/>
  <c r="A44" i="3"/>
  <c r="H43" i="3"/>
  <c r="G43" i="3"/>
  <c r="D43" i="3"/>
  <c r="C43" i="3"/>
  <c r="B43" i="3"/>
  <c r="A43" i="3"/>
  <c r="H42" i="3"/>
  <c r="G42" i="3"/>
  <c r="F42" i="3"/>
  <c r="E42" i="3"/>
  <c r="D42" i="3"/>
  <c r="C42" i="3"/>
  <c r="B42" i="3"/>
  <c r="A42" i="3"/>
  <c r="H41" i="3"/>
  <c r="G41" i="3"/>
  <c r="D41" i="3"/>
  <c r="C41" i="3"/>
  <c r="B41" i="3"/>
  <c r="A41" i="3"/>
  <c r="H40" i="3"/>
  <c r="G40" i="3"/>
  <c r="E40" i="3"/>
  <c r="D40" i="3"/>
  <c r="C40" i="3"/>
  <c r="B40" i="3"/>
  <c r="A40" i="3"/>
  <c r="H39" i="3"/>
  <c r="G39" i="3"/>
  <c r="F39" i="3"/>
  <c r="E39" i="3"/>
  <c r="D39" i="3"/>
  <c r="C39" i="3"/>
  <c r="B39" i="3"/>
  <c r="A39" i="3"/>
  <c r="H38" i="3"/>
  <c r="G38" i="3"/>
  <c r="F38" i="3"/>
  <c r="D38" i="3"/>
  <c r="C38" i="3"/>
  <c r="B38" i="3"/>
  <c r="A38" i="3"/>
  <c r="H37" i="3"/>
  <c r="G37" i="3"/>
  <c r="D37" i="3"/>
  <c r="C37" i="3"/>
  <c r="B37" i="3"/>
  <c r="A37" i="3"/>
  <c r="H36" i="3"/>
  <c r="G36" i="3"/>
  <c r="D36" i="3"/>
  <c r="C36" i="3"/>
  <c r="B36" i="3"/>
  <c r="A36" i="3"/>
  <c r="H35" i="3"/>
  <c r="G35" i="3"/>
  <c r="D35" i="3"/>
  <c r="C35" i="3"/>
  <c r="B35" i="3"/>
  <c r="A35" i="3"/>
  <c r="H34" i="3"/>
  <c r="G34" i="3"/>
  <c r="F34" i="3"/>
  <c r="E34" i="3"/>
  <c r="D34" i="3"/>
  <c r="C34" i="3"/>
  <c r="B34" i="3"/>
  <c r="A34" i="3"/>
  <c r="H33" i="3"/>
  <c r="G33" i="3"/>
  <c r="D33" i="3"/>
  <c r="C33" i="3"/>
  <c r="B33" i="3"/>
  <c r="A33" i="3"/>
  <c r="H32" i="3"/>
  <c r="G32" i="3"/>
  <c r="E32" i="3"/>
  <c r="D32" i="3"/>
  <c r="C32" i="3"/>
  <c r="B32" i="3"/>
  <c r="A32" i="3"/>
  <c r="H31" i="3"/>
  <c r="G31" i="3"/>
  <c r="F31" i="3"/>
  <c r="E31" i="3"/>
  <c r="D31" i="3"/>
  <c r="C31" i="3"/>
  <c r="B31" i="3"/>
  <c r="A31" i="3"/>
  <c r="H30" i="3"/>
  <c r="G30" i="3"/>
  <c r="F30" i="3"/>
  <c r="D30" i="3"/>
  <c r="C30" i="3"/>
  <c r="B30" i="3"/>
  <c r="A30" i="3"/>
  <c r="H29" i="3"/>
  <c r="G29" i="3"/>
  <c r="D29" i="3"/>
  <c r="C29" i="3"/>
  <c r="B29" i="3"/>
  <c r="A29" i="3"/>
  <c r="H28" i="3"/>
  <c r="G28" i="3"/>
  <c r="D28" i="3"/>
  <c r="C28" i="3"/>
  <c r="B28" i="3"/>
  <c r="A28" i="3"/>
  <c r="H27" i="3"/>
  <c r="G27" i="3"/>
  <c r="D27" i="3"/>
  <c r="C27" i="3"/>
  <c r="B27" i="3"/>
  <c r="A27" i="3"/>
  <c r="H26" i="3"/>
  <c r="G26" i="3"/>
  <c r="F26" i="3"/>
  <c r="E26" i="3"/>
  <c r="D26" i="3"/>
  <c r="C26" i="3"/>
  <c r="B26" i="3"/>
  <c r="A26" i="3"/>
  <c r="H25" i="3"/>
  <c r="G25" i="3"/>
  <c r="D25" i="3"/>
  <c r="C25" i="3"/>
  <c r="B25" i="3"/>
  <c r="A25" i="3"/>
  <c r="H24" i="3"/>
  <c r="G24" i="3"/>
  <c r="E24" i="3"/>
  <c r="D24" i="3"/>
  <c r="C24" i="3"/>
  <c r="B24" i="3"/>
  <c r="A24" i="3"/>
  <c r="H23" i="3"/>
  <c r="G23" i="3"/>
  <c r="F23" i="3"/>
  <c r="E23" i="3"/>
  <c r="D23" i="3"/>
  <c r="C23" i="3"/>
  <c r="B23" i="3"/>
  <c r="A23" i="3"/>
  <c r="H22" i="3"/>
  <c r="G22" i="3"/>
  <c r="F22" i="3"/>
  <c r="D22" i="3"/>
  <c r="C22" i="3"/>
  <c r="B22" i="3"/>
  <c r="A22" i="3"/>
  <c r="H21" i="3"/>
  <c r="G21" i="3"/>
  <c r="D21" i="3"/>
  <c r="C21" i="3"/>
  <c r="B21" i="3"/>
  <c r="A21" i="3"/>
  <c r="H20" i="3"/>
  <c r="G20" i="3"/>
  <c r="D20" i="3"/>
  <c r="C20" i="3"/>
  <c r="B20" i="3"/>
  <c r="A20" i="3"/>
  <c r="H19" i="3"/>
  <c r="G19" i="3"/>
  <c r="D19" i="3"/>
  <c r="C19" i="3"/>
  <c r="B19" i="3"/>
  <c r="A19" i="3"/>
  <c r="H18" i="3"/>
  <c r="G18" i="3"/>
  <c r="F18" i="3"/>
  <c r="E18" i="3"/>
  <c r="D18" i="3"/>
  <c r="C18" i="3"/>
  <c r="B18" i="3"/>
  <c r="A18" i="3"/>
  <c r="H17" i="3"/>
  <c r="G17" i="3"/>
  <c r="D17" i="3"/>
  <c r="C17" i="3"/>
  <c r="B17" i="3"/>
  <c r="A17" i="3"/>
  <c r="H16" i="3"/>
  <c r="G16" i="3"/>
  <c r="E16" i="3"/>
  <c r="D16" i="3"/>
  <c r="C16" i="3"/>
  <c r="B16" i="3"/>
  <c r="A16" i="3"/>
  <c r="H15" i="3"/>
  <c r="G15" i="3"/>
  <c r="F15" i="3"/>
  <c r="E15" i="3"/>
  <c r="D15" i="3"/>
  <c r="C15" i="3"/>
  <c r="B15" i="3"/>
  <c r="A15" i="3"/>
  <c r="H14" i="3"/>
  <c r="G14" i="3"/>
  <c r="F14" i="3"/>
  <c r="D14" i="3"/>
  <c r="C14" i="3"/>
  <c r="B14" i="3"/>
  <c r="A14" i="3"/>
  <c r="H13" i="3"/>
  <c r="G13" i="3"/>
  <c r="D13" i="3"/>
  <c r="C13" i="3"/>
  <c r="B13" i="3"/>
  <c r="A13" i="3"/>
  <c r="H12" i="3"/>
  <c r="G12" i="3"/>
  <c r="D12" i="3"/>
  <c r="C12" i="3"/>
  <c r="B12" i="3"/>
  <c r="A12" i="3"/>
  <c r="H11" i="3"/>
  <c r="G11" i="3"/>
  <c r="D11" i="3"/>
  <c r="C11" i="3"/>
  <c r="B11" i="3"/>
  <c r="A11" i="3"/>
  <c r="H10" i="3"/>
  <c r="G10" i="3"/>
  <c r="F10" i="3"/>
  <c r="E10" i="3"/>
  <c r="D10" i="3"/>
  <c r="C10" i="3"/>
  <c r="B10" i="3"/>
  <c r="A10" i="3"/>
  <c r="H9" i="3"/>
  <c r="G9" i="3"/>
  <c r="D9" i="3"/>
  <c r="C9" i="3"/>
  <c r="B9" i="3"/>
  <c r="A9" i="3"/>
  <c r="H8" i="3"/>
  <c r="G8" i="3"/>
  <c r="E8" i="3"/>
  <c r="D8" i="3"/>
  <c r="C8" i="3"/>
  <c r="B8" i="3"/>
  <c r="A8" i="3"/>
  <c r="H7" i="3"/>
  <c r="G7" i="3"/>
  <c r="F7" i="3"/>
  <c r="E7" i="3"/>
  <c r="D7" i="3"/>
  <c r="C7" i="3"/>
  <c r="B7" i="3"/>
  <c r="A7" i="3"/>
  <c r="H6" i="3"/>
  <c r="G6" i="3"/>
  <c r="F6" i="3"/>
  <c r="D6" i="3"/>
  <c r="C6" i="3"/>
  <c r="B6" i="3"/>
  <c r="A6" i="3"/>
  <c r="H5" i="3"/>
  <c r="G5" i="3"/>
  <c r="D5" i="3"/>
  <c r="C5" i="3"/>
  <c r="B5" i="3"/>
  <c r="A5" i="3"/>
  <c r="H4" i="3"/>
  <c r="G4" i="3"/>
  <c r="D4" i="3"/>
  <c r="C4" i="3"/>
  <c r="B4" i="3"/>
  <c r="A4" i="3"/>
  <c r="B57" i="3" s="1"/>
  <c r="M52" i="2"/>
  <c r="I53" i="3" s="1"/>
  <c r="J52" i="2"/>
  <c r="F53" i="3" s="1"/>
  <c r="G52" i="2"/>
  <c r="E53" i="3" s="1"/>
  <c r="J51" i="2"/>
  <c r="F52" i="3" s="1"/>
  <c r="G51" i="2"/>
  <c r="E52" i="3" s="1"/>
  <c r="J50" i="2"/>
  <c r="F51" i="3" s="1"/>
  <c r="G50" i="2"/>
  <c r="E51" i="3" s="1"/>
  <c r="J49" i="2"/>
  <c r="G49" i="2"/>
  <c r="E50" i="3" s="1"/>
  <c r="J48" i="2"/>
  <c r="M48" i="2" s="1"/>
  <c r="I49" i="3" s="1"/>
  <c r="G48" i="2"/>
  <c r="E49" i="3" s="1"/>
  <c r="J47" i="2"/>
  <c r="F48" i="3" s="1"/>
  <c r="G47" i="2"/>
  <c r="J46" i="2"/>
  <c r="F47" i="3" s="1"/>
  <c r="G46" i="2"/>
  <c r="M46" i="2" s="1"/>
  <c r="I47" i="3" s="1"/>
  <c r="M45" i="2"/>
  <c r="I46" i="3" s="1"/>
  <c r="J45" i="2"/>
  <c r="G45" i="2"/>
  <c r="E46" i="3" s="1"/>
  <c r="M44" i="2"/>
  <c r="I45" i="3" s="1"/>
  <c r="J44" i="2"/>
  <c r="F45" i="3" s="1"/>
  <c r="G44" i="2"/>
  <c r="E45" i="3" s="1"/>
  <c r="J43" i="2"/>
  <c r="F44" i="3" s="1"/>
  <c r="G43" i="2"/>
  <c r="E44" i="3" s="1"/>
  <c r="J42" i="2"/>
  <c r="F43" i="3" s="1"/>
  <c r="G42" i="2"/>
  <c r="E43" i="3" s="1"/>
  <c r="J41" i="2"/>
  <c r="G41" i="2"/>
  <c r="M41" i="2" s="1"/>
  <c r="I42" i="3" s="1"/>
  <c r="J40" i="2"/>
  <c r="F41" i="3" s="1"/>
  <c r="G40" i="2"/>
  <c r="E41" i="3" s="1"/>
  <c r="J39" i="2"/>
  <c r="F40" i="3" s="1"/>
  <c r="G39" i="2"/>
  <c r="J38" i="2"/>
  <c r="G38" i="2"/>
  <c r="M38" i="2" s="1"/>
  <c r="I39" i="3" s="1"/>
  <c r="M37" i="2"/>
  <c r="I38" i="3" s="1"/>
  <c r="J37" i="2"/>
  <c r="G37" i="2"/>
  <c r="E38" i="3" s="1"/>
  <c r="M36" i="2"/>
  <c r="I37" i="3" s="1"/>
  <c r="J36" i="2"/>
  <c r="F37" i="3" s="1"/>
  <c r="G36" i="2"/>
  <c r="E37" i="3" s="1"/>
  <c r="J35" i="2"/>
  <c r="F36" i="3" s="1"/>
  <c r="G35" i="2"/>
  <c r="E36" i="3" s="1"/>
  <c r="J34" i="2"/>
  <c r="F35" i="3" s="1"/>
  <c r="G34" i="2"/>
  <c r="M34" i="2" s="1"/>
  <c r="I35" i="3" s="1"/>
  <c r="J33" i="2"/>
  <c r="G33" i="2"/>
  <c r="M33" i="2" s="1"/>
  <c r="I34" i="3" s="1"/>
  <c r="J32" i="2"/>
  <c r="F33" i="3" s="1"/>
  <c r="G32" i="2"/>
  <c r="E33" i="3" s="1"/>
  <c r="J31" i="2"/>
  <c r="F32" i="3" s="1"/>
  <c r="G31" i="2"/>
  <c r="J30" i="2"/>
  <c r="G30" i="2"/>
  <c r="M30" i="2" s="1"/>
  <c r="I31" i="3" s="1"/>
  <c r="M29" i="2"/>
  <c r="I30" i="3" s="1"/>
  <c r="J29" i="2"/>
  <c r="G29" i="2"/>
  <c r="E30" i="3" s="1"/>
  <c r="M28" i="2"/>
  <c r="I29" i="3" s="1"/>
  <c r="J28" i="2"/>
  <c r="F29" i="3" s="1"/>
  <c r="G28" i="2"/>
  <c r="E29" i="3" s="1"/>
  <c r="J27" i="2"/>
  <c r="F28" i="3" s="1"/>
  <c r="G27" i="2"/>
  <c r="E28" i="3" s="1"/>
  <c r="J26" i="2"/>
  <c r="F27" i="3" s="1"/>
  <c r="G26" i="2"/>
  <c r="M26" i="2" s="1"/>
  <c r="I27" i="3" s="1"/>
  <c r="J25" i="2"/>
  <c r="G25" i="2"/>
  <c r="M25" i="2" s="1"/>
  <c r="I26" i="3" s="1"/>
  <c r="J24" i="2"/>
  <c r="F25" i="3" s="1"/>
  <c r="G24" i="2"/>
  <c r="E25" i="3" s="1"/>
  <c r="J23" i="2"/>
  <c r="F24" i="3" s="1"/>
  <c r="G23" i="2"/>
  <c r="J22" i="2"/>
  <c r="G22" i="2"/>
  <c r="M22" i="2" s="1"/>
  <c r="I23" i="3" s="1"/>
  <c r="M21" i="2"/>
  <c r="I22" i="3" s="1"/>
  <c r="J21" i="2"/>
  <c r="G21" i="2"/>
  <c r="E22" i="3" s="1"/>
  <c r="M20" i="2"/>
  <c r="I21" i="3" s="1"/>
  <c r="J20" i="2"/>
  <c r="F21" i="3" s="1"/>
  <c r="G20" i="2"/>
  <c r="E21" i="3" s="1"/>
  <c r="J19" i="2"/>
  <c r="F20" i="3" s="1"/>
  <c r="G19" i="2"/>
  <c r="E20" i="3" s="1"/>
  <c r="J18" i="2"/>
  <c r="F19" i="3" s="1"/>
  <c r="G18" i="2"/>
  <c r="M18" i="2" s="1"/>
  <c r="I19" i="3" s="1"/>
  <c r="J17" i="2"/>
  <c r="G17" i="2"/>
  <c r="M17" i="2" s="1"/>
  <c r="I18" i="3" s="1"/>
  <c r="J16" i="2"/>
  <c r="F17" i="3" s="1"/>
  <c r="G16" i="2"/>
  <c r="E17" i="3" s="1"/>
  <c r="J15" i="2"/>
  <c r="F16" i="3" s="1"/>
  <c r="G15" i="2"/>
  <c r="J14" i="2"/>
  <c r="G14" i="2"/>
  <c r="M14" i="2" s="1"/>
  <c r="I15" i="3" s="1"/>
  <c r="M13" i="2"/>
  <c r="I14" i="3" s="1"/>
  <c r="J13" i="2"/>
  <c r="G13" i="2"/>
  <c r="E14" i="3" s="1"/>
  <c r="M12" i="2"/>
  <c r="I13" i="3" s="1"/>
  <c r="J12" i="2"/>
  <c r="F13" i="3" s="1"/>
  <c r="G12" i="2"/>
  <c r="E13" i="3" s="1"/>
  <c r="J11" i="2"/>
  <c r="F12" i="3" s="1"/>
  <c r="G11" i="2"/>
  <c r="E12" i="3" s="1"/>
  <c r="J10" i="2"/>
  <c r="F11" i="3" s="1"/>
  <c r="G10" i="2"/>
  <c r="M10" i="2" s="1"/>
  <c r="I11" i="3" s="1"/>
  <c r="J9" i="2"/>
  <c r="G9" i="2"/>
  <c r="M9" i="2" s="1"/>
  <c r="I10" i="3" s="1"/>
  <c r="J8" i="2"/>
  <c r="M8" i="2" s="1"/>
  <c r="I9" i="3" s="1"/>
  <c r="G8" i="2"/>
  <c r="E9" i="3" s="1"/>
  <c r="J7" i="2"/>
  <c r="F8" i="3" s="1"/>
  <c r="G7" i="2"/>
  <c r="J6" i="2"/>
  <c r="G6" i="2"/>
  <c r="M6" i="2" s="1"/>
  <c r="I7" i="3" s="1"/>
  <c r="M5" i="2"/>
  <c r="I6" i="3" s="1"/>
  <c r="J5" i="2"/>
  <c r="G5" i="2"/>
  <c r="E6" i="3" s="1"/>
  <c r="M4" i="2"/>
  <c r="I5" i="3" s="1"/>
  <c r="J4" i="2"/>
  <c r="F5" i="3" s="1"/>
  <c r="G4" i="2"/>
  <c r="E5" i="3" s="1"/>
  <c r="J3" i="2"/>
  <c r="F4" i="3" s="1"/>
  <c r="G3" i="2"/>
  <c r="M3" i="2" s="1"/>
  <c r="I4" i="3" s="1"/>
  <c r="M16" i="2" l="1"/>
  <c r="I17" i="3" s="1"/>
  <c r="M24" i="2"/>
  <c r="I25" i="3" s="1"/>
  <c r="M32" i="2"/>
  <c r="I33" i="3" s="1"/>
  <c r="M40" i="2"/>
  <c r="I41" i="3" s="1"/>
  <c r="E11" i="3"/>
  <c r="E19" i="3"/>
  <c r="E27" i="3"/>
  <c r="E35" i="3"/>
  <c r="M11" i="2"/>
  <c r="I12" i="3" s="1"/>
  <c r="M19" i="2"/>
  <c r="I20" i="3" s="1"/>
  <c r="M35" i="2"/>
  <c r="I36" i="3" s="1"/>
  <c r="M43" i="2"/>
  <c r="I44" i="3" s="1"/>
  <c r="M51" i="2"/>
  <c r="I52" i="3" s="1"/>
  <c r="E4" i="3"/>
  <c r="M49" i="2"/>
  <c r="I50" i="3" s="1"/>
  <c r="M7" i="2"/>
  <c r="I8" i="3" s="1"/>
  <c r="F57" i="3" s="1"/>
  <c r="M15" i="2"/>
  <c r="I16" i="3" s="1"/>
  <c r="M23" i="2"/>
  <c r="I24" i="3" s="1"/>
  <c r="M31" i="2"/>
  <c r="I32" i="3" s="1"/>
  <c r="M39" i="2"/>
  <c r="I40" i="3" s="1"/>
  <c r="M47" i="2"/>
  <c r="I48" i="3" s="1"/>
  <c r="M42" i="2"/>
  <c r="I43" i="3" s="1"/>
  <c r="M50" i="2"/>
  <c r="I51" i="3" s="1"/>
  <c r="F9" i="3"/>
  <c r="F49" i="3"/>
  <c r="M27" i="2"/>
  <c r="I28" i="3" s="1"/>
  <c r="D57" i="3" l="1"/>
  <c r="H57" i="3" s="1"/>
</calcChain>
</file>

<file path=xl/sharedStrings.xml><?xml version="1.0" encoding="utf-8"?>
<sst xmlns="http://schemas.openxmlformats.org/spreadsheetml/2006/main" count="548" uniqueCount="168">
  <si>
    <t>KOI - Raw Student Data (Australian Student Performance Dataset 2024)</t>
  </si>
  <si>
    <t>Student ID</t>
  </si>
  <si>
    <t>University Name</t>
  </si>
  <si>
    <t>Age</t>
  </si>
  <si>
    <t>Gender</t>
  </si>
  <si>
    <t>Major</t>
  </si>
  <si>
    <t>Year of Study</t>
  </si>
  <si>
    <t>GPA</t>
  </si>
  <si>
    <t>Attendance Rate</t>
  </si>
  <si>
    <t>Project/Assignment Scores</t>
  </si>
  <si>
    <t>Midterm Exam Scores</t>
  </si>
  <si>
    <t>Final Exam Scores</t>
  </si>
  <si>
    <t>Performance</t>
  </si>
  <si>
    <t>Mental Health Status</t>
  </si>
  <si>
    <t>Tutor Support</t>
  </si>
  <si>
    <t>Scholarship</t>
  </si>
  <si>
    <t>University C</t>
  </si>
  <si>
    <t>F</t>
  </si>
  <si>
    <t>EE</t>
  </si>
  <si>
    <t>Satisfactory</t>
  </si>
  <si>
    <t>Fair</t>
  </si>
  <si>
    <t>University A</t>
  </si>
  <si>
    <t>ME</t>
  </si>
  <si>
    <t>Poor</t>
  </si>
  <si>
    <t>Excellent</t>
  </si>
  <si>
    <t>M</t>
  </si>
  <si>
    <t>CS</t>
  </si>
  <si>
    <t>Needs Improvement</t>
  </si>
  <si>
    <t>CE</t>
  </si>
  <si>
    <t>Good</t>
  </si>
  <si>
    <t>BA</t>
  </si>
  <si>
    <t>University B</t>
  </si>
  <si>
    <t>KOI - At-Risk Student Identification (Australian Dataset 2024)</t>
  </si>
  <si>
    <t>Student Name</t>
  </si>
  <si>
    <t>Subject</t>
  </si>
  <si>
    <t>Week
Number</t>
  </si>
  <si>
    <t>Total
Classes</t>
  </si>
  <si>
    <t>Classes
Attended</t>
  </si>
  <si>
    <t>Attendance
%</t>
  </si>
  <si>
    <t>Tutorials
Total</t>
  </si>
  <si>
    <t>Tutorials
Submitted</t>
  </si>
  <si>
    <t>Submission
%</t>
  </si>
  <si>
    <t>Quiz
Attempted</t>
  </si>
  <si>
    <t>Tutorial
Pass/Fail</t>
  </si>
  <si>
    <t>AT RISK
FLAG</t>
  </si>
  <si>
    <t>Action
Taken</t>
  </si>
  <si>
    <t>Current
Status</t>
  </si>
  <si>
    <t>AU00001</t>
  </si>
  <si>
    <t>F_1</t>
  </si>
  <si>
    <t>MIS101</t>
  </si>
  <si>
    <t>Yes</t>
  </si>
  <si>
    <t>Pass</t>
  </si>
  <si>
    <t>AU00002</t>
  </si>
  <si>
    <t>F_2</t>
  </si>
  <si>
    <t>ICT202</t>
  </si>
  <si>
    <t>AU00003</t>
  </si>
  <si>
    <t>M_3</t>
  </si>
  <si>
    <t>BUS301</t>
  </si>
  <si>
    <t>AU00004</t>
  </si>
  <si>
    <t>M_4</t>
  </si>
  <si>
    <t>DAT401</t>
  </si>
  <si>
    <t>AU00005</t>
  </si>
  <si>
    <t>F_5</t>
  </si>
  <si>
    <t>NET102</t>
  </si>
  <si>
    <t>No</t>
  </si>
  <si>
    <t>AU00006</t>
  </si>
  <si>
    <t>F_6</t>
  </si>
  <si>
    <t>AU00007</t>
  </si>
  <si>
    <t>M_7</t>
  </si>
  <si>
    <t>AU00008</t>
  </si>
  <si>
    <t>M_8</t>
  </si>
  <si>
    <t>AU00009</t>
  </si>
  <si>
    <t>F_9</t>
  </si>
  <si>
    <t>Fail</t>
  </si>
  <si>
    <t>AU00010</t>
  </si>
  <si>
    <t>F_10</t>
  </si>
  <si>
    <t>AU00011</t>
  </si>
  <si>
    <t>F_11</t>
  </si>
  <si>
    <t>AU00012</t>
  </si>
  <si>
    <t>M_12</t>
  </si>
  <si>
    <t>AU00013</t>
  </si>
  <si>
    <t>M_13</t>
  </si>
  <si>
    <t>AU00014</t>
  </si>
  <si>
    <t>F_14</t>
  </si>
  <si>
    <t>AU00015</t>
  </si>
  <si>
    <t>M_15</t>
  </si>
  <si>
    <t>AU00016</t>
  </si>
  <si>
    <t>M_16</t>
  </si>
  <si>
    <t>AU00017</t>
  </si>
  <si>
    <t>F_17</t>
  </si>
  <si>
    <t>AU00018</t>
  </si>
  <si>
    <t>M_18</t>
  </si>
  <si>
    <t>AU00019</t>
  </si>
  <si>
    <t>M_19</t>
  </si>
  <si>
    <t>AU00020</t>
  </si>
  <si>
    <t>F_20</t>
  </si>
  <si>
    <t>AU00021</t>
  </si>
  <si>
    <t>F_21</t>
  </si>
  <si>
    <t>AU00022</t>
  </si>
  <si>
    <t>M_22</t>
  </si>
  <si>
    <t>AU00023</t>
  </si>
  <si>
    <t>M_23</t>
  </si>
  <si>
    <t>AU00024</t>
  </si>
  <si>
    <t>M_24</t>
  </si>
  <si>
    <t>AU00025</t>
  </si>
  <si>
    <t>M_25</t>
  </si>
  <si>
    <t>AU00026</t>
  </si>
  <si>
    <t>F_26</t>
  </si>
  <si>
    <t>AU00027</t>
  </si>
  <si>
    <t>M_27</t>
  </si>
  <si>
    <t>AU00028</t>
  </si>
  <si>
    <t>M_28</t>
  </si>
  <si>
    <t>AU00029</t>
  </si>
  <si>
    <t>F_29</t>
  </si>
  <si>
    <t>AU00030</t>
  </si>
  <si>
    <t>F_30</t>
  </si>
  <si>
    <t>AU00031</t>
  </si>
  <si>
    <t>M_31</t>
  </si>
  <si>
    <t>AU00032</t>
  </si>
  <si>
    <t>M_32</t>
  </si>
  <si>
    <t>AU00033</t>
  </si>
  <si>
    <t>F_33</t>
  </si>
  <si>
    <t>AU00034</t>
  </si>
  <si>
    <t>F_34</t>
  </si>
  <si>
    <t>AU00035</t>
  </si>
  <si>
    <t>M_35</t>
  </si>
  <si>
    <t>AU00036</t>
  </si>
  <si>
    <t>M_36</t>
  </si>
  <si>
    <t>AU00037</t>
  </si>
  <si>
    <t>M_37</t>
  </si>
  <si>
    <t>AU00038</t>
  </si>
  <si>
    <t>M_38</t>
  </si>
  <si>
    <t>AU00039</t>
  </si>
  <si>
    <t>F_39</t>
  </si>
  <si>
    <t>AU00040</t>
  </si>
  <si>
    <t>M_40</t>
  </si>
  <si>
    <t>AU00041</t>
  </si>
  <si>
    <t>F_41</t>
  </si>
  <si>
    <t>AU00042</t>
  </si>
  <si>
    <t>M_42</t>
  </si>
  <si>
    <t>AU00043</t>
  </si>
  <si>
    <t>M_43</t>
  </si>
  <si>
    <t>AU00044</t>
  </si>
  <si>
    <t>M_44</t>
  </si>
  <si>
    <t>AU00045</t>
  </si>
  <si>
    <t>F_45</t>
  </si>
  <si>
    <t>AU00046</t>
  </si>
  <si>
    <t>M_46</t>
  </si>
  <si>
    <t>AU00047</t>
  </si>
  <si>
    <t>F_47</t>
  </si>
  <si>
    <t>AU00048</t>
  </si>
  <si>
    <t>M_48</t>
  </si>
  <si>
    <t>AU00049</t>
  </si>
  <si>
    <t>F_49</t>
  </si>
  <si>
    <t>AU00050</t>
  </si>
  <si>
    <t>M_50</t>
  </si>
  <si>
    <t>KOI - Consolidated At-Risk Report (Australian Dataset 2024)</t>
  </si>
  <si>
    <t>Summary: AT RISK students across all subjects — Week 4 &amp; Week 8</t>
  </si>
  <si>
    <t>Week</t>
  </si>
  <si>
    <t>Attendance %</t>
  </si>
  <si>
    <t>Submission %</t>
  </si>
  <si>
    <t>Action Taken</t>
  </si>
  <si>
    <t>Still At Risk?</t>
  </si>
  <si>
    <t>SUMMARY STATISTICS</t>
  </si>
  <si>
    <t>Total Students</t>
  </si>
  <si>
    <t>AT RISK Count</t>
  </si>
  <si>
    <t>OK Count</t>
  </si>
  <si>
    <t>AT RISK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</si>
</sst>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sz val="10"/>
      <name val="Arial"/>
    </font>
    <font>
      <b/>
      <sz val="11"/>
      <color rgb="FFFFFFFF"/>
      <name val="Arial"/>
    </font>
    <font>
      <i/>
      <sz val="10"/>
      <color rgb="FF1A5276"/>
      <name val="Arial"/>
    </font>
    <font>
      <b/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2E4A7A"/>
      </patternFill>
    </fill>
    <fill>
      <patternFill patternType="solid">
        <fgColor rgb="FFD6E4F0"/>
      </patternFill>
    </fill>
    <fill>
      <patternFill patternType="solid">
        <fgColor rgb="FF7D6608"/>
      </patternFill>
    </fill>
    <fill>
      <patternFill patternType="solid">
        <fgColor rgb="FFFEF9E7"/>
      </patternFill>
    </fill>
    <fill>
      <patternFill patternType="solid">
        <fgColor rgb="FF1A5276"/>
      </patternFill>
    </fill>
    <fill>
      <patternFill patternType="solid">
        <fgColor rgb="FFD6EAF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" fillId="5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2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5" width="18" customWidth="1"/>
  </cols>
  <sheetData>
    <row r="1" spans="1:15" ht="30" customHeight="1" x14ac:dyDescent="0.3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5" ht="28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 x14ac:dyDescent="0.35">
      <c r="A3" s="2">
        <v>1</v>
      </c>
      <c r="B3" s="2" t="s">
        <v>16</v>
      </c>
      <c r="C3" s="2">
        <v>25</v>
      </c>
      <c r="D3" s="2" t="s">
        <v>17</v>
      </c>
      <c r="E3" s="2" t="s">
        <v>18</v>
      </c>
      <c r="F3" s="2">
        <v>1</v>
      </c>
      <c r="G3" s="2">
        <v>2.06</v>
      </c>
      <c r="H3" s="2">
        <v>0.84</v>
      </c>
      <c r="I3" s="2">
        <v>70</v>
      </c>
      <c r="J3" s="2">
        <v>84</v>
      </c>
      <c r="K3" s="2">
        <v>81</v>
      </c>
      <c r="L3" s="2" t="s">
        <v>19</v>
      </c>
      <c r="M3" s="2" t="s">
        <v>20</v>
      </c>
      <c r="N3" s="2">
        <v>1</v>
      </c>
      <c r="O3" s="2">
        <v>0</v>
      </c>
    </row>
    <row r="4" spans="1:15" x14ac:dyDescent="0.35">
      <c r="A4" s="3">
        <v>2</v>
      </c>
      <c r="B4" s="3" t="s">
        <v>21</v>
      </c>
      <c r="C4" s="3">
        <v>26</v>
      </c>
      <c r="D4" s="3" t="s">
        <v>17</v>
      </c>
      <c r="E4" s="3" t="s">
        <v>22</v>
      </c>
      <c r="F4" s="3">
        <v>4</v>
      </c>
      <c r="G4" s="3">
        <v>2.12</v>
      </c>
      <c r="H4" s="3">
        <v>0.73</v>
      </c>
      <c r="I4" s="3">
        <v>58</v>
      </c>
      <c r="J4" s="3">
        <v>82</v>
      </c>
      <c r="K4" s="3">
        <v>79</v>
      </c>
      <c r="L4" s="3" t="s">
        <v>23</v>
      </c>
      <c r="M4" s="3" t="s">
        <v>24</v>
      </c>
      <c r="N4" s="3">
        <v>0</v>
      </c>
      <c r="O4" s="3">
        <v>1</v>
      </c>
    </row>
    <row r="5" spans="1:15" x14ac:dyDescent="0.35">
      <c r="A5" s="2">
        <v>3</v>
      </c>
      <c r="B5" s="2" t="s">
        <v>16</v>
      </c>
      <c r="C5" s="2">
        <v>20</v>
      </c>
      <c r="D5" s="2" t="s">
        <v>25</v>
      </c>
      <c r="E5" s="2" t="s">
        <v>26</v>
      </c>
      <c r="F5" s="2">
        <v>4</v>
      </c>
      <c r="G5" s="2">
        <v>2.72</v>
      </c>
      <c r="H5" s="2">
        <v>0.96</v>
      </c>
      <c r="I5" s="2">
        <v>57</v>
      </c>
      <c r="J5" s="2">
        <v>74</v>
      </c>
      <c r="K5" s="2">
        <v>53</v>
      </c>
      <c r="L5" s="2" t="s">
        <v>19</v>
      </c>
      <c r="M5" s="2" t="s">
        <v>23</v>
      </c>
      <c r="N5" s="2">
        <v>1</v>
      </c>
      <c r="O5" s="2">
        <v>0</v>
      </c>
    </row>
    <row r="6" spans="1:15" x14ac:dyDescent="0.35">
      <c r="A6" s="3">
        <v>4</v>
      </c>
      <c r="B6" s="3" t="s">
        <v>21</v>
      </c>
      <c r="C6" s="3">
        <v>25</v>
      </c>
      <c r="D6" s="3" t="s">
        <v>25</v>
      </c>
      <c r="E6" s="3" t="s">
        <v>22</v>
      </c>
      <c r="F6" s="3">
        <v>1</v>
      </c>
      <c r="G6" s="3">
        <v>3.05</v>
      </c>
      <c r="H6" s="3">
        <v>0.84</v>
      </c>
      <c r="I6" s="3">
        <v>61</v>
      </c>
      <c r="J6" s="3">
        <v>85</v>
      </c>
      <c r="K6" s="3">
        <v>81</v>
      </c>
      <c r="L6" s="3" t="s">
        <v>27</v>
      </c>
      <c r="M6" s="3" t="s">
        <v>20</v>
      </c>
      <c r="N6" s="3">
        <v>0</v>
      </c>
      <c r="O6" s="3">
        <v>1</v>
      </c>
    </row>
    <row r="7" spans="1:15" x14ac:dyDescent="0.35">
      <c r="A7" s="2">
        <v>5</v>
      </c>
      <c r="B7" s="2" t="s">
        <v>16</v>
      </c>
      <c r="C7" s="2">
        <v>22</v>
      </c>
      <c r="D7" s="2" t="s">
        <v>17</v>
      </c>
      <c r="E7" s="2" t="s">
        <v>28</v>
      </c>
      <c r="F7" s="2">
        <v>3</v>
      </c>
      <c r="G7" s="2">
        <v>1.86</v>
      </c>
      <c r="H7" s="2">
        <v>0.92</v>
      </c>
      <c r="I7" s="2">
        <v>85</v>
      </c>
      <c r="J7" s="2">
        <v>53</v>
      </c>
      <c r="K7" s="2">
        <v>93</v>
      </c>
      <c r="L7" s="2" t="s">
        <v>29</v>
      </c>
      <c r="M7" s="2" t="s">
        <v>20</v>
      </c>
      <c r="N7" s="2">
        <v>1</v>
      </c>
      <c r="O7" s="2">
        <v>1</v>
      </c>
    </row>
    <row r="8" spans="1:15" x14ac:dyDescent="0.35">
      <c r="A8" s="3">
        <v>6</v>
      </c>
      <c r="B8" s="3" t="s">
        <v>16</v>
      </c>
      <c r="C8" s="3">
        <v>22</v>
      </c>
      <c r="D8" s="3" t="s">
        <v>17</v>
      </c>
      <c r="E8" s="3" t="s">
        <v>28</v>
      </c>
      <c r="F8" s="3">
        <v>1</v>
      </c>
      <c r="G8" s="3">
        <v>1.74</v>
      </c>
      <c r="H8" s="3">
        <v>0.66</v>
      </c>
      <c r="I8" s="3">
        <v>89</v>
      </c>
      <c r="J8" s="3">
        <v>99</v>
      </c>
      <c r="K8" s="3">
        <v>68</v>
      </c>
      <c r="L8" s="3" t="s">
        <v>19</v>
      </c>
      <c r="M8" s="3" t="s">
        <v>29</v>
      </c>
      <c r="N8" s="3">
        <v>1</v>
      </c>
      <c r="O8" s="3">
        <v>0</v>
      </c>
    </row>
    <row r="9" spans="1:15" x14ac:dyDescent="0.35">
      <c r="A9" s="2">
        <v>7</v>
      </c>
      <c r="B9" s="2" t="s">
        <v>21</v>
      </c>
      <c r="C9" s="2">
        <v>29</v>
      </c>
      <c r="D9" s="2" t="s">
        <v>25</v>
      </c>
      <c r="E9" s="2" t="s">
        <v>26</v>
      </c>
      <c r="F9" s="2">
        <v>3</v>
      </c>
      <c r="G9" s="2">
        <v>2.4300000000000002</v>
      </c>
      <c r="H9" s="2">
        <v>0.81</v>
      </c>
      <c r="I9" s="2">
        <v>78</v>
      </c>
      <c r="J9" s="2">
        <v>97</v>
      </c>
      <c r="K9" s="2">
        <v>53</v>
      </c>
      <c r="L9" s="2" t="s">
        <v>19</v>
      </c>
      <c r="M9" s="2" t="s">
        <v>23</v>
      </c>
      <c r="N9" s="2">
        <v>1</v>
      </c>
      <c r="O9" s="2">
        <v>0</v>
      </c>
    </row>
    <row r="10" spans="1:15" x14ac:dyDescent="0.35">
      <c r="A10" s="3">
        <v>8</v>
      </c>
      <c r="B10" s="3" t="s">
        <v>21</v>
      </c>
      <c r="C10" s="3">
        <v>23</v>
      </c>
      <c r="D10" s="3" t="s">
        <v>25</v>
      </c>
      <c r="E10" s="3" t="s">
        <v>30</v>
      </c>
      <c r="F10" s="3">
        <v>4</v>
      </c>
      <c r="G10" s="3">
        <v>1.96</v>
      </c>
      <c r="H10" s="3">
        <v>0.77</v>
      </c>
      <c r="I10" s="3">
        <v>78</v>
      </c>
      <c r="J10" s="3">
        <v>72</v>
      </c>
      <c r="K10" s="3">
        <v>79</v>
      </c>
      <c r="L10" s="3" t="s">
        <v>24</v>
      </c>
      <c r="M10" s="3" t="s">
        <v>24</v>
      </c>
      <c r="N10" s="3">
        <v>1</v>
      </c>
      <c r="O10" s="3">
        <v>1</v>
      </c>
    </row>
    <row r="11" spans="1:15" x14ac:dyDescent="0.35">
      <c r="A11" s="2">
        <v>9</v>
      </c>
      <c r="B11" s="2" t="s">
        <v>31</v>
      </c>
      <c r="C11" s="2">
        <v>23</v>
      </c>
      <c r="D11" s="2" t="s">
        <v>17</v>
      </c>
      <c r="E11" s="2" t="s">
        <v>26</v>
      </c>
      <c r="F11" s="2">
        <v>2</v>
      </c>
      <c r="G11" s="2">
        <v>2.88</v>
      </c>
      <c r="H11" s="2">
        <v>0.76</v>
      </c>
      <c r="I11" s="2">
        <v>50</v>
      </c>
      <c r="J11" s="2">
        <v>83</v>
      </c>
      <c r="K11" s="2">
        <v>68</v>
      </c>
      <c r="L11" s="2" t="s">
        <v>27</v>
      </c>
      <c r="M11" s="2" t="s">
        <v>23</v>
      </c>
      <c r="N11" s="2">
        <v>0</v>
      </c>
      <c r="O11" s="2">
        <v>0</v>
      </c>
    </row>
    <row r="12" spans="1:15" x14ac:dyDescent="0.35">
      <c r="A12" s="3">
        <v>10</v>
      </c>
      <c r="B12" s="3" t="s">
        <v>31</v>
      </c>
      <c r="C12" s="3">
        <v>26</v>
      </c>
      <c r="D12" s="3" t="s">
        <v>17</v>
      </c>
      <c r="E12" s="3" t="s">
        <v>22</v>
      </c>
      <c r="F12" s="3">
        <v>4</v>
      </c>
      <c r="G12" s="3">
        <v>3.18</v>
      </c>
      <c r="H12" s="3">
        <v>0.57999999999999996</v>
      </c>
      <c r="I12" s="3">
        <v>85</v>
      </c>
      <c r="J12" s="3">
        <v>78</v>
      </c>
      <c r="K12" s="3">
        <v>92</v>
      </c>
      <c r="L12" s="3" t="s">
        <v>19</v>
      </c>
      <c r="M12" s="3" t="s">
        <v>29</v>
      </c>
      <c r="N12" s="3">
        <v>1</v>
      </c>
      <c r="O12" s="3">
        <v>0</v>
      </c>
    </row>
    <row r="13" spans="1:15" x14ac:dyDescent="0.35">
      <c r="A13" s="2">
        <v>11</v>
      </c>
      <c r="B13" s="2" t="s">
        <v>21</v>
      </c>
      <c r="C13" s="2">
        <v>24</v>
      </c>
      <c r="D13" s="2" t="s">
        <v>17</v>
      </c>
      <c r="E13" s="2" t="s">
        <v>18</v>
      </c>
      <c r="F13" s="2">
        <v>4</v>
      </c>
      <c r="G13" s="2">
        <v>1.22</v>
      </c>
      <c r="H13" s="2">
        <v>0.62</v>
      </c>
      <c r="I13" s="2">
        <v>79</v>
      </c>
      <c r="J13" s="2">
        <v>54</v>
      </c>
      <c r="K13" s="2">
        <v>85</v>
      </c>
      <c r="L13" s="2" t="s">
        <v>19</v>
      </c>
      <c r="M13" s="2" t="s">
        <v>29</v>
      </c>
      <c r="N13" s="2">
        <v>1</v>
      </c>
      <c r="O13" s="2">
        <v>0</v>
      </c>
    </row>
    <row r="14" spans="1:15" x14ac:dyDescent="0.35">
      <c r="A14" s="3">
        <v>12</v>
      </c>
      <c r="B14" s="3" t="s">
        <v>16</v>
      </c>
      <c r="C14" s="3">
        <v>26</v>
      </c>
      <c r="D14" s="3" t="s">
        <v>25</v>
      </c>
      <c r="E14" s="3" t="s">
        <v>22</v>
      </c>
      <c r="F14" s="3">
        <v>1</v>
      </c>
      <c r="G14" s="3">
        <v>3.79</v>
      </c>
      <c r="H14" s="3">
        <v>0.69</v>
      </c>
      <c r="I14" s="3">
        <v>61</v>
      </c>
      <c r="J14" s="3">
        <v>82</v>
      </c>
      <c r="K14" s="3">
        <v>62</v>
      </c>
      <c r="L14" s="3" t="s">
        <v>23</v>
      </c>
      <c r="M14" s="3" t="s">
        <v>20</v>
      </c>
      <c r="N14" s="3">
        <v>0</v>
      </c>
      <c r="O14" s="3">
        <v>0</v>
      </c>
    </row>
    <row r="15" spans="1:15" x14ac:dyDescent="0.35">
      <c r="A15" s="2">
        <v>13</v>
      </c>
      <c r="B15" s="2" t="s">
        <v>16</v>
      </c>
      <c r="C15" s="2">
        <v>20</v>
      </c>
      <c r="D15" s="2" t="s">
        <v>25</v>
      </c>
      <c r="E15" s="2" t="s">
        <v>18</v>
      </c>
      <c r="F15" s="2">
        <v>2</v>
      </c>
      <c r="G15" s="2">
        <v>3.56</v>
      </c>
      <c r="H15" s="2">
        <v>0.56000000000000005</v>
      </c>
      <c r="I15" s="2">
        <v>82</v>
      </c>
      <c r="J15" s="2">
        <v>92</v>
      </c>
      <c r="K15" s="2">
        <v>85</v>
      </c>
      <c r="L15" s="2" t="s">
        <v>29</v>
      </c>
      <c r="M15" s="2" t="s">
        <v>29</v>
      </c>
      <c r="N15" s="2">
        <v>0</v>
      </c>
      <c r="O15" s="2">
        <v>0</v>
      </c>
    </row>
    <row r="16" spans="1:15" x14ac:dyDescent="0.35">
      <c r="A16" s="3">
        <v>14</v>
      </c>
      <c r="B16" s="3" t="s">
        <v>31</v>
      </c>
      <c r="C16" s="3">
        <v>19</v>
      </c>
      <c r="D16" s="3" t="s">
        <v>17</v>
      </c>
      <c r="E16" s="3" t="s">
        <v>28</v>
      </c>
      <c r="F16" s="3">
        <v>4</v>
      </c>
      <c r="G16" s="3">
        <v>1.64</v>
      </c>
      <c r="H16" s="3">
        <v>0.68</v>
      </c>
      <c r="I16" s="3">
        <v>73</v>
      </c>
      <c r="J16" s="3">
        <v>99</v>
      </c>
      <c r="K16" s="3">
        <v>52</v>
      </c>
      <c r="L16" s="3" t="s">
        <v>19</v>
      </c>
      <c r="M16" s="3" t="s">
        <v>29</v>
      </c>
      <c r="N16" s="3">
        <v>1</v>
      </c>
      <c r="O16" s="3">
        <v>1</v>
      </c>
    </row>
    <row r="17" spans="1:15" x14ac:dyDescent="0.35">
      <c r="A17" s="2">
        <v>15</v>
      </c>
      <c r="B17" s="2" t="s">
        <v>21</v>
      </c>
      <c r="C17" s="2">
        <v>21</v>
      </c>
      <c r="D17" s="2" t="s">
        <v>25</v>
      </c>
      <c r="E17" s="2" t="s">
        <v>18</v>
      </c>
      <c r="F17" s="2">
        <v>2</v>
      </c>
      <c r="G17" s="2">
        <v>1.54</v>
      </c>
      <c r="H17" s="2">
        <v>0.67</v>
      </c>
      <c r="I17" s="2">
        <v>76</v>
      </c>
      <c r="J17" s="2">
        <v>88</v>
      </c>
      <c r="K17" s="2">
        <v>95</v>
      </c>
      <c r="L17" s="2" t="s">
        <v>23</v>
      </c>
      <c r="M17" s="2" t="s">
        <v>29</v>
      </c>
      <c r="N17" s="2">
        <v>1</v>
      </c>
      <c r="O17" s="2">
        <v>0</v>
      </c>
    </row>
    <row r="18" spans="1:15" x14ac:dyDescent="0.35">
      <c r="A18" s="3">
        <v>16</v>
      </c>
      <c r="B18" s="3" t="s">
        <v>31</v>
      </c>
      <c r="C18" s="3">
        <v>24</v>
      </c>
      <c r="D18" s="3" t="s">
        <v>25</v>
      </c>
      <c r="E18" s="3" t="s">
        <v>18</v>
      </c>
      <c r="F18" s="3">
        <v>3</v>
      </c>
      <c r="G18" s="3">
        <v>2.46</v>
      </c>
      <c r="H18" s="3">
        <v>0.61</v>
      </c>
      <c r="I18" s="3">
        <v>75</v>
      </c>
      <c r="J18" s="3">
        <v>56</v>
      </c>
      <c r="K18" s="3">
        <v>66</v>
      </c>
      <c r="L18" s="3" t="s">
        <v>29</v>
      </c>
      <c r="M18" s="3" t="s">
        <v>23</v>
      </c>
      <c r="N18" s="3">
        <v>0</v>
      </c>
      <c r="O18" s="3">
        <v>1</v>
      </c>
    </row>
    <row r="19" spans="1:15" x14ac:dyDescent="0.35">
      <c r="A19" s="2">
        <v>17</v>
      </c>
      <c r="B19" s="2" t="s">
        <v>21</v>
      </c>
      <c r="C19" s="2">
        <v>22</v>
      </c>
      <c r="D19" s="2" t="s">
        <v>17</v>
      </c>
      <c r="E19" s="2" t="s">
        <v>28</v>
      </c>
      <c r="F19" s="2">
        <v>2</v>
      </c>
      <c r="G19" s="2">
        <v>2.87</v>
      </c>
      <c r="H19" s="2">
        <v>0.79</v>
      </c>
      <c r="I19" s="2">
        <v>66</v>
      </c>
      <c r="J19" s="2">
        <v>97</v>
      </c>
      <c r="K19" s="2">
        <v>98</v>
      </c>
      <c r="L19" s="2" t="s">
        <v>27</v>
      </c>
      <c r="M19" s="2" t="s">
        <v>23</v>
      </c>
      <c r="N19" s="2">
        <v>1</v>
      </c>
      <c r="O19" s="2">
        <v>0</v>
      </c>
    </row>
    <row r="20" spans="1:15" x14ac:dyDescent="0.35">
      <c r="A20" s="3">
        <v>18</v>
      </c>
      <c r="B20" s="3" t="s">
        <v>21</v>
      </c>
      <c r="C20" s="3">
        <v>28</v>
      </c>
      <c r="D20" s="3" t="s">
        <v>25</v>
      </c>
      <c r="E20" s="3" t="s">
        <v>22</v>
      </c>
      <c r="F20" s="3">
        <v>3</v>
      </c>
      <c r="G20" s="3">
        <v>3.3</v>
      </c>
      <c r="H20" s="3">
        <v>0.73</v>
      </c>
      <c r="I20" s="3">
        <v>89</v>
      </c>
      <c r="J20" s="3">
        <v>70</v>
      </c>
      <c r="K20" s="3">
        <v>67</v>
      </c>
      <c r="L20" s="3" t="s">
        <v>27</v>
      </c>
      <c r="M20" s="3" t="s">
        <v>29</v>
      </c>
      <c r="N20" s="3">
        <v>1</v>
      </c>
      <c r="O20" s="3">
        <v>1</v>
      </c>
    </row>
    <row r="21" spans="1:15" x14ac:dyDescent="0.35">
      <c r="A21" s="2">
        <v>19</v>
      </c>
      <c r="B21" s="2" t="s">
        <v>21</v>
      </c>
      <c r="C21" s="2">
        <v>27</v>
      </c>
      <c r="D21" s="2" t="s">
        <v>25</v>
      </c>
      <c r="E21" s="2" t="s">
        <v>30</v>
      </c>
      <c r="F21" s="2">
        <v>1</v>
      </c>
      <c r="G21" s="2">
        <v>3.55</v>
      </c>
      <c r="H21" s="2">
        <v>0.57999999999999996</v>
      </c>
      <c r="I21" s="2">
        <v>57</v>
      </c>
      <c r="J21" s="2">
        <v>84</v>
      </c>
      <c r="K21" s="2">
        <v>62</v>
      </c>
      <c r="L21" s="2" t="s">
        <v>29</v>
      </c>
      <c r="M21" s="2" t="s">
        <v>29</v>
      </c>
      <c r="N21" s="2">
        <v>1</v>
      </c>
      <c r="O21" s="2">
        <v>1</v>
      </c>
    </row>
    <row r="22" spans="1:15" x14ac:dyDescent="0.35">
      <c r="A22" s="3">
        <v>20</v>
      </c>
      <c r="B22" s="3" t="s">
        <v>31</v>
      </c>
      <c r="C22" s="3">
        <v>28</v>
      </c>
      <c r="D22" s="3" t="s">
        <v>17</v>
      </c>
      <c r="E22" s="3" t="s">
        <v>30</v>
      </c>
      <c r="F22" s="3">
        <v>3</v>
      </c>
      <c r="G22" s="3">
        <v>1.23</v>
      </c>
      <c r="H22" s="3">
        <v>0.75</v>
      </c>
      <c r="I22" s="3">
        <v>92</v>
      </c>
      <c r="J22" s="3">
        <v>82</v>
      </c>
      <c r="K22" s="3">
        <v>81</v>
      </c>
      <c r="L22" s="3" t="s">
        <v>19</v>
      </c>
      <c r="M22" s="3" t="s">
        <v>23</v>
      </c>
      <c r="N22" s="3">
        <v>1</v>
      </c>
      <c r="O22" s="3">
        <v>0</v>
      </c>
    </row>
    <row r="23" spans="1:15" x14ac:dyDescent="0.35">
      <c r="A23" s="2">
        <v>21</v>
      </c>
      <c r="B23" s="2" t="s">
        <v>16</v>
      </c>
      <c r="C23" s="2">
        <v>19</v>
      </c>
      <c r="D23" s="2" t="s">
        <v>17</v>
      </c>
      <c r="E23" s="2" t="s">
        <v>18</v>
      </c>
      <c r="F23" s="2">
        <v>2</v>
      </c>
      <c r="G23" s="2">
        <v>1.43</v>
      </c>
      <c r="H23" s="2">
        <v>0.53</v>
      </c>
      <c r="I23" s="2">
        <v>53</v>
      </c>
      <c r="J23" s="2">
        <v>90</v>
      </c>
      <c r="K23" s="2">
        <v>97</v>
      </c>
      <c r="L23" s="2" t="s">
        <v>23</v>
      </c>
      <c r="M23" s="2" t="s">
        <v>24</v>
      </c>
      <c r="N23" s="2">
        <v>0</v>
      </c>
      <c r="O23" s="2">
        <v>0</v>
      </c>
    </row>
    <row r="24" spans="1:15" x14ac:dyDescent="0.35">
      <c r="A24" s="3">
        <v>22</v>
      </c>
      <c r="B24" s="3" t="s">
        <v>21</v>
      </c>
      <c r="C24" s="3">
        <v>20</v>
      </c>
      <c r="D24" s="3" t="s">
        <v>25</v>
      </c>
      <c r="E24" s="3" t="s">
        <v>18</v>
      </c>
      <c r="F24" s="3">
        <v>2</v>
      </c>
      <c r="G24" s="3">
        <v>3.81</v>
      </c>
      <c r="H24" s="3">
        <v>0.61</v>
      </c>
      <c r="I24" s="3">
        <v>78</v>
      </c>
      <c r="J24" s="3">
        <v>77</v>
      </c>
      <c r="K24" s="3">
        <v>57</v>
      </c>
      <c r="L24" s="3" t="s">
        <v>19</v>
      </c>
      <c r="M24" s="3" t="s">
        <v>29</v>
      </c>
      <c r="N24" s="3">
        <v>1</v>
      </c>
      <c r="O24" s="3">
        <v>0</v>
      </c>
    </row>
    <row r="25" spans="1:15" x14ac:dyDescent="0.35">
      <c r="A25" s="2">
        <v>23</v>
      </c>
      <c r="B25" s="2" t="s">
        <v>31</v>
      </c>
      <c r="C25" s="2">
        <v>20</v>
      </c>
      <c r="D25" s="2" t="s">
        <v>25</v>
      </c>
      <c r="E25" s="2" t="s">
        <v>26</v>
      </c>
      <c r="F25" s="2">
        <v>1</v>
      </c>
      <c r="G25" s="2">
        <v>1.43</v>
      </c>
      <c r="H25" s="2">
        <v>0.88</v>
      </c>
      <c r="I25" s="2">
        <v>77</v>
      </c>
      <c r="J25" s="2">
        <v>82</v>
      </c>
      <c r="K25" s="2">
        <v>78</v>
      </c>
      <c r="L25" s="2" t="s">
        <v>29</v>
      </c>
      <c r="M25" s="2" t="s">
        <v>24</v>
      </c>
      <c r="N25" s="2">
        <v>1</v>
      </c>
      <c r="O25" s="2">
        <v>0</v>
      </c>
    </row>
    <row r="26" spans="1:15" x14ac:dyDescent="0.35">
      <c r="A26" s="3">
        <v>24</v>
      </c>
      <c r="B26" s="3" t="s">
        <v>21</v>
      </c>
      <c r="C26" s="3">
        <v>27</v>
      </c>
      <c r="D26" s="3" t="s">
        <v>25</v>
      </c>
      <c r="E26" s="3" t="s">
        <v>26</v>
      </c>
      <c r="F26" s="3">
        <v>4</v>
      </c>
      <c r="G26" s="3">
        <v>3.88</v>
      </c>
      <c r="H26" s="3">
        <v>0.72</v>
      </c>
      <c r="I26" s="3">
        <v>71</v>
      </c>
      <c r="J26" s="3">
        <v>57</v>
      </c>
      <c r="K26" s="3">
        <v>81</v>
      </c>
      <c r="L26" s="3" t="s">
        <v>29</v>
      </c>
      <c r="M26" s="3" t="s">
        <v>23</v>
      </c>
      <c r="N26" s="3">
        <v>1</v>
      </c>
      <c r="O26" s="3">
        <v>0</v>
      </c>
    </row>
    <row r="27" spans="1:15" x14ac:dyDescent="0.35">
      <c r="A27" s="2">
        <v>25</v>
      </c>
      <c r="B27" s="2" t="s">
        <v>16</v>
      </c>
      <c r="C27" s="2">
        <v>19</v>
      </c>
      <c r="D27" s="2" t="s">
        <v>25</v>
      </c>
      <c r="E27" s="2" t="s">
        <v>28</v>
      </c>
      <c r="F27" s="2">
        <v>1</v>
      </c>
      <c r="G27" s="2">
        <v>3.26</v>
      </c>
      <c r="H27" s="2">
        <v>0.56999999999999995</v>
      </c>
      <c r="I27" s="2">
        <v>64</v>
      </c>
      <c r="J27" s="2">
        <v>87</v>
      </c>
      <c r="K27" s="2">
        <v>50</v>
      </c>
      <c r="L27" s="2" t="s">
        <v>19</v>
      </c>
      <c r="M27" s="2" t="s">
        <v>29</v>
      </c>
      <c r="N27" s="2">
        <v>0</v>
      </c>
      <c r="O27" s="2">
        <v>0</v>
      </c>
    </row>
    <row r="28" spans="1:15" x14ac:dyDescent="0.35">
      <c r="A28" s="3">
        <v>26</v>
      </c>
      <c r="B28" s="3" t="s">
        <v>31</v>
      </c>
      <c r="C28" s="3">
        <v>20</v>
      </c>
      <c r="D28" s="3" t="s">
        <v>17</v>
      </c>
      <c r="E28" s="3" t="s">
        <v>26</v>
      </c>
      <c r="F28" s="3">
        <v>3</v>
      </c>
      <c r="G28" s="3">
        <v>1.28</v>
      </c>
      <c r="H28" s="3">
        <v>0.63</v>
      </c>
      <c r="I28" s="3">
        <v>84</v>
      </c>
      <c r="J28" s="3">
        <v>85</v>
      </c>
      <c r="K28" s="3">
        <v>62</v>
      </c>
      <c r="L28" s="3" t="s">
        <v>27</v>
      </c>
      <c r="M28" s="3" t="s">
        <v>23</v>
      </c>
      <c r="N28" s="3">
        <v>0</v>
      </c>
      <c r="O28" s="3">
        <v>1</v>
      </c>
    </row>
    <row r="29" spans="1:15" x14ac:dyDescent="0.35">
      <c r="A29" s="2">
        <v>27</v>
      </c>
      <c r="B29" s="2" t="s">
        <v>16</v>
      </c>
      <c r="C29" s="2">
        <v>28</v>
      </c>
      <c r="D29" s="2" t="s">
        <v>25</v>
      </c>
      <c r="E29" s="2" t="s">
        <v>28</v>
      </c>
      <c r="F29" s="2">
        <v>4</v>
      </c>
      <c r="G29" s="2">
        <v>1.53</v>
      </c>
      <c r="H29" s="2">
        <v>0.88</v>
      </c>
      <c r="I29" s="2">
        <v>94</v>
      </c>
      <c r="J29" s="2">
        <v>87</v>
      </c>
      <c r="K29" s="2">
        <v>62</v>
      </c>
      <c r="L29" s="2" t="s">
        <v>19</v>
      </c>
      <c r="M29" s="2" t="s">
        <v>20</v>
      </c>
      <c r="N29" s="2">
        <v>1</v>
      </c>
      <c r="O29" s="2">
        <v>0</v>
      </c>
    </row>
    <row r="30" spans="1:15" x14ac:dyDescent="0.35">
      <c r="A30" s="3">
        <v>28</v>
      </c>
      <c r="B30" s="3" t="s">
        <v>21</v>
      </c>
      <c r="C30" s="3">
        <v>26</v>
      </c>
      <c r="D30" s="3" t="s">
        <v>25</v>
      </c>
      <c r="E30" s="3" t="s">
        <v>28</v>
      </c>
      <c r="F30" s="3">
        <v>4</v>
      </c>
      <c r="G30" s="3">
        <v>2.1</v>
      </c>
      <c r="H30" s="3">
        <v>0.93</v>
      </c>
      <c r="I30" s="3">
        <v>98</v>
      </c>
      <c r="J30" s="3">
        <v>72</v>
      </c>
      <c r="K30" s="3">
        <v>56</v>
      </c>
      <c r="L30" s="3" t="s">
        <v>29</v>
      </c>
      <c r="M30" s="3" t="s">
        <v>24</v>
      </c>
      <c r="N30" s="3">
        <v>0</v>
      </c>
      <c r="O30" s="3">
        <v>1</v>
      </c>
    </row>
    <row r="31" spans="1:15" x14ac:dyDescent="0.35">
      <c r="A31" s="2">
        <v>29</v>
      </c>
      <c r="B31" s="2" t="s">
        <v>16</v>
      </c>
      <c r="C31" s="2">
        <v>20</v>
      </c>
      <c r="D31" s="2" t="s">
        <v>17</v>
      </c>
      <c r="E31" s="2" t="s">
        <v>22</v>
      </c>
      <c r="F31" s="2">
        <v>1</v>
      </c>
      <c r="G31" s="2">
        <v>3.03</v>
      </c>
      <c r="H31" s="2">
        <v>0.78</v>
      </c>
      <c r="I31" s="2">
        <v>93</v>
      </c>
      <c r="J31" s="2">
        <v>65</v>
      </c>
      <c r="K31" s="2">
        <v>67</v>
      </c>
      <c r="L31" s="2" t="s">
        <v>27</v>
      </c>
      <c r="M31" s="2" t="s">
        <v>23</v>
      </c>
      <c r="N31" s="2">
        <v>1</v>
      </c>
      <c r="O31" s="2">
        <v>1</v>
      </c>
    </row>
    <row r="32" spans="1:15" x14ac:dyDescent="0.35">
      <c r="A32" s="3">
        <v>30</v>
      </c>
      <c r="B32" s="3" t="s">
        <v>16</v>
      </c>
      <c r="C32" s="3">
        <v>26</v>
      </c>
      <c r="D32" s="3" t="s">
        <v>17</v>
      </c>
      <c r="E32" s="3" t="s">
        <v>26</v>
      </c>
      <c r="F32" s="3">
        <v>3</v>
      </c>
      <c r="G32" s="3">
        <v>1.85</v>
      </c>
      <c r="H32" s="3">
        <v>0.56000000000000005</v>
      </c>
      <c r="I32" s="3">
        <v>70</v>
      </c>
      <c r="J32" s="3">
        <v>95</v>
      </c>
      <c r="K32" s="3">
        <v>99</v>
      </c>
      <c r="L32" s="3" t="s">
        <v>29</v>
      </c>
      <c r="M32" s="3" t="s">
        <v>23</v>
      </c>
      <c r="N32" s="3">
        <v>1</v>
      </c>
      <c r="O32" s="3">
        <v>1</v>
      </c>
    </row>
    <row r="33" spans="1:15" x14ac:dyDescent="0.35">
      <c r="A33" s="2">
        <v>31</v>
      </c>
      <c r="B33" s="2" t="s">
        <v>16</v>
      </c>
      <c r="C33" s="2">
        <v>20</v>
      </c>
      <c r="D33" s="2" t="s">
        <v>25</v>
      </c>
      <c r="E33" s="2" t="s">
        <v>30</v>
      </c>
      <c r="F33" s="2">
        <v>2</v>
      </c>
      <c r="G33" s="2">
        <v>2.46</v>
      </c>
      <c r="H33" s="2">
        <v>0.92</v>
      </c>
      <c r="I33" s="2">
        <v>98</v>
      </c>
      <c r="J33" s="2">
        <v>55</v>
      </c>
      <c r="K33" s="2">
        <v>60</v>
      </c>
      <c r="L33" s="2" t="s">
        <v>19</v>
      </c>
      <c r="M33" s="2" t="s">
        <v>29</v>
      </c>
      <c r="N33" s="2">
        <v>0</v>
      </c>
      <c r="O33" s="2">
        <v>1</v>
      </c>
    </row>
    <row r="34" spans="1:15" x14ac:dyDescent="0.35">
      <c r="A34" s="3">
        <v>32</v>
      </c>
      <c r="B34" s="3" t="s">
        <v>16</v>
      </c>
      <c r="C34" s="3">
        <v>27</v>
      </c>
      <c r="D34" s="3" t="s">
        <v>25</v>
      </c>
      <c r="E34" s="3" t="s">
        <v>26</v>
      </c>
      <c r="F34" s="3">
        <v>3</v>
      </c>
      <c r="G34" s="3">
        <v>1.45</v>
      </c>
      <c r="H34" s="3">
        <v>0.7</v>
      </c>
      <c r="I34" s="3">
        <v>82</v>
      </c>
      <c r="J34" s="3">
        <v>86</v>
      </c>
      <c r="K34" s="3">
        <v>73</v>
      </c>
      <c r="L34" s="3" t="s">
        <v>27</v>
      </c>
      <c r="M34" s="3" t="s">
        <v>29</v>
      </c>
      <c r="N34" s="3">
        <v>1</v>
      </c>
      <c r="O34" s="3">
        <v>0</v>
      </c>
    </row>
    <row r="35" spans="1:15" x14ac:dyDescent="0.35">
      <c r="A35" s="2">
        <v>33</v>
      </c>
      <c r="B35" s="2" t="s">
        <v>16</v>
      </c>
      <c r="C35" s="2">
        <v>23</v>
      </c>
      <c r="D35" s="2" t="s">
        <v>17</v>
      </c>
      <c r="E35" s="2" t="s">
        <v>18</v>
      </c>
      <c r="F35" s="2">
        <v>2</v>
      </c>
      <c r="G35" s="2">
        <v>2.35</v>
      </c>
      <c r="H35" s="2">
        <v>0.78</v>
      </c>
      <c r="I35" s="2">
        <v>59</v>
      </c>
      <c r="J35" s="2">
        <v>56</v>
      </c>
      <c r="K35" s="2">
        <v>84</v>
      </c>
      <c r="L35" s="2" t="s">
        <v>29</v>
      </c>
      <c r="M35" s="2" t="s">
        <v>20</v>
      </c>
      <c r="N35" s="2">
        <v>1</v>
      </c>
      <c r="O35" s="2">
        <v>1</v>
      </c>
    </row>
    <row r="36" spans="1:15" x14ac:dyDescent="0.35">
      <c r="A36" s="3">
        <v>34</v>
      </c>
      <c r="B36" s="3" t="s">
        <v>21</v>
      </c>
      <c r="C36" s="3">
        <v>21</v>
      </c>
      <c r="D36" s="3" t="s">
        <v>17</v>
      </c>
      <c r="E36" s="3" t="s">
        <v>28</v>
      </c>
      <c r="F36" s="3">
        <v>1</v>
      </c>
      <c r="G36" s="3">
        <v>2.83</v>
      </c>
      <c r="H36" s="3">
        <v>0.88</v>
      </c>
      <c r="I36" s="3">
        <v>67</v>
      </c>
      <c r="J36" s="3">
        <v>71</v>
      </c>
      <c r="K36" s="3">
        <v>71</v>
      </c>
      <c r="L36" s="3" t="s">
        <v>19</v>
      </c>
      <c r="M36" s="3" t="s">
        <v>23</v>
      </c>
      <c r="N36" s="3">
        <v>0</v>
      </c>
      <c r="O36" s="3">
        <v>0</v>
      </c>
    </row>
    <row r="37" spans="1:15" x14ac:dyDescent="0.35">
      <c r="A37" s="2">
        <v>35</v>
      </c>
      <c r="B37" s="2" t="s">
        <v>16</v>
      </c>
      <c r="C37" s="2">
        <v>20</v>
      </c>
      <c r="D37" s="2" t="s">
        <v>25</v>
      </c>
      <c r="E37" s="2" t="s">
        <v>30</v>
      </c>
      <c r="F37" s="2">
        <v>2</v>
      </c>
      <c r="G37" s="2">
        <v>2.41</v>
      </c>
      <c r="H37" s="2">
        <v>0.8</v>
      </c>
      <c r="I37" s="2">
        <v>94</v>
      </c>
      <c r="J37" s="2">
        <v>74</v>
      </c>
      <c r="K37" s="2">
        <v>76</v>
      </c>
      <c r="L37" s="2" t="s">
        <v>27</v>
      </c>
      <c r="M37" s="2" t="s">
        <v>23</v>
      </c>
      <c r="N37" s="2">
        <v>0</v>
      </c>
      <c r="O37" s="2">
        <v>0</v>
      </c>
    </row>
    <row r="38" spans="1:15" x14ac:dyDescent="0.35">
      <c r="A38" s="3">
        <v>36</v>
      </c>
      <c r="B38" s="3" t="s">
        <v>21</v>
      </c>
      <c r="C38" s="3">
        <v>22</v>
      </c>
      <c r="D38" s="3" t="s">
        <v>25</v>
      </c>
      <c r="E38" s="3" t="s">
        <v>26</v>
      </c>
      <c r="F38" s="3">
        <v>1</v>
      </c>
      <c r="G38" s="3">
        <v>1.29</v>
      </c>
      <c r="H38" s="3">
        <v>0.69</v>
      </c>
      <c r="I38" s="3">
        <v>91</v>
      </c>
      <c r="J38" s="3">
        <v>52</v>
      </c>
      <c r="K38" s="3">
        <v>85</v>
      </c>
      <c r="L38" s="3" t="s">
        <v>19</v>
      </c>
      <c r="M38" s="3" t="s">
        <v>29</v>
      </c>
      <c r="N38" s="3">
        <v>1</v>
      </c>
      <c r="O38" s="3">
        <v>0</v>
      </c>
    </row>
    <row r="39" spans="1:15" x14ac:dyDescent="0.35">
      <c r="A39" s="2">
        <v>37</v>
      </c>
      <c r="B39" s="2" t="s">
        <v>21</v>
      </c>
      <c r="C39" s="2">
        <v>23</v>
      </c>
      <c r="D39" s="2" t="s">
        <v>25</v>
      </c>
      <c r="E39" s="2" t="s">
        <v>26</v>
      </c>
      <c r="F39" s="2">
        <v>4</v>
      </c>
      <c r="G39" s="2">
        <v>2.96</v>
      </c>
      <c r="H39" s="2">
        <v>0.56999999999999995</v>
      </c>
      <c r="I39" s="2">
        <v>79</v>
      </c>
      <c r="J39" s="2">
        <v>65</v>
      </c>
      <c r="K39" s="2">
        <v>53</v>
      </c>
      <c r="L39" s="2" t="s">
        <v>24</v>
      </c>
      <c r="M39" s="2" t="s">
        <v>29</v>
      </c>
      <c r="N39" s="2">
        <v>0</v>
      </c>
      <c r="O39" s="2">
        <v>0</v>
      </c>
    </row>
    <row r="40" spans="1:15" x14ac:dyDescent="0.35">
      <c r="A40" s="3">
        <v>38</v>
      </c>
      <c r="B40" s="3" t="s">
        <v>16</v>
      </c>
      <c r="C40" s="3">
        <v>18</v>
      </c>
      <c r="D40" s="3" t="s">
        <v>25</v>
      </c>
      <c r="E40" s="3" t="s">
        <v>26</v>
      </c>
      <c r="F40" s="3">
        <v>4</v>
      </c>
      <c r="G40" s="3">
        <v>2.77</v>
      </c>
      <c r="H40" s="3">
        <v>0.79</v>
      </c>
      <c r="I40" s="3">
        <v>97</v>
      </c>
      <c r="J40" s="3">
        <v>94</v>
      </c>
      <c r="K40" s="3">
        <v>93</v>
      </c>
      <c r="L40" s="3" t="s">
        <v>24</v>
      </c>
      <c r="M40" s="3" t="s">
        <v>29</v>
      </c>
      <c r="N40" s="3">
        <v>0</v>
      </c>
      <c r="O40" s="3">
        <v>1</v>
      </c>
    </row>
    <row r="41" spans="1:15" x14ac:dyDescent="0.35">
      <c r="A41" s="2">
        <v>39</v>
      </c>
      <c r="B41" s="2" t="s">
        <v>31</v>
      </c>
      <c r="C41" s="2">
        <v>27</v>
      </c>
      <c r="D41" s="2" t="s">
        <v>17</v>
      </c>
      <c r="E41" s="2" t="s">
        <v>22</v>
      </c>
      <c r="F41" s="2">
        <v>1</v>
      </c>
      <c r="G41" s="2">
        <v>3.3</v>
      </c>
      <c r="H41" s="2">
        <v>0.67</v>
      </c>
      <c r="I41" s="2">
        <v>66</v>
      </c>
      <c r="J41" s="2">
        <v>71</v>
      </c>
      <c r="K41" s="2">
        <v>70</v>
      </c>
      <c r="L41" s="2" t="s">
        <v>29</v>
      </c>
      <c r="M41" s="2" t="s">
        <v>23</v>
      </c>
      <c r="N41" s="2">
        <v>1</v>
      </c>
      <c r="O41" s="2">
        <v>0</v>
      </c>
    </row>
    <row r="42" spans="1:15" x14ac:dyDescent="0.35">
      <c r="A42" s="3">
        <v>40</v>
      </c>
      <c r="B42" s="3" t="s">
        <v>16</v>
      </c>
      <c r="C42" s="3">
        <v>28</v>
      </c>
      <c r="D42" s="3" t="s">
        <v>25</v>
      </c>
      <c r="E42" s="3" t="s">
        <v>18</v>
      </c>
      <c r="F42" s="3">
        <v>2</v>
      </c>
      <c r="G42" s="3">
        <v>2.2000000000000002</v>
      </c>
      <c r="H42" s="3">
        <v>0.99</v>
      </c>
      <c r="I42" s="3">
        <v>53</v>
      </c>
      <c r="J42" s="3">
        <v>53</v>
      </c>
      <c r="K42" s="3">
        <v>76</v>
      </c>
      <c r="L42" s="3" t="s">
        <v>27</v>
      </c>
      <c r="M42" s="3" t="s">
        <v>24</v>
      </c>
      <c r="N42" s="3">
        <v>0</v>
      </c>
      <c r="O42" s="3">
        <v>1</v>
      </c>
    </row>
    <row r="43" spans="1:15" x14ac:dyDescent="0.35">
      <c r="A43" s="2">
        <v>41</v>
      </c>
      <c r="B43" s="2" t="s">
        <v>21</v>
      </c>
      <c r="C43" s="2">
        <v>26</v>
      </c>
      <c r="D43" s="2" t="s">
        <v>17</v>
      </c>
      <c r="E43" s="2" t="s">
        <v>22</v>
      </c>
      <c r="F43" s="2">
        <v>3</v>
      </c>
      <c r="G43" s="2">
        <v>1.33</v>
      </c>
      <c r="H43" s="2">
        <v>0.98</v>
      </c>
      <c r="I43" s="2">
        <v>61</v>
      </c>
      <c r="J43" s="2">
        <v>81</v>
      </c>
      <c r="K43" s="2">
        <v>98</v>
      </c>
      <c r="L43" s="2" t="s">
        <v>24</v>
      </c>
      <c r="M43" s="2" t="s">
        <v>20</v>
      </c>
      <c r="N43" s="2">
        <v>0</v>
      </c>
      <c r="O43" s="2">
        <v>0</v>
      </c>
    </row>
    <row r="44" spans="1:15" x14ac:dyDescent="0.35">
      <c r="A44" s="3">
        <v>42</v>
      </c>
      <c r="B44" s="3" t="s">
        <v>16</v>
      </c>
      <c r="C44" s="3">
        <v>20</v>
      </c>
      <c r="D44" s="3" t="s">
        <v>25</v>
      </c>
      <c r="E44" s="3" t="s">
        <v>28</v>
      </c>
      <c r="F44" s="3">
        <v>3</v>
      </c>
      <c r="G44" s="3">
        <v>3.33</v>
      </c>
      <c r="H44" s="3">
        <v>0.75</v>
      </c>
      <c r="I44" s="3">
        <v>56</v>
      </c>
      <c r="J44" s="3">
        <v>68</v>
      </c>
      <c r="K44" s="3">
        <v>82</v>
      </c>
      <c r="L44" s="3" t="s">
        <v>27</v>
      </c>
      <c r="M44" s="3" t="s">
        <v>29</v>
      </c>
      <c r="N44" s="3">
        <v>0</v>
      </c>
      <c r="O44" s="3">
        <v>1</v>
      </c>
    </row>
    <row r="45" spans="1:15" x14ac:dyDescent="0.35">
      <c r="A45" s="2">
        <v>43</v>
      </c>
      <c r="B45" s="2" t="s">
        <v>31</v>
      </c>
      <c r="C45" s="2">
        <v>22</v>
      </c>
      <c r="D45" s="2" t="s">
        <v>25</v>
      </c>
      <c r="E45" s="2" t="s">
        <v>30</v>
      </c>
      <c r="F45" s="2">
        <v>2</v>
      </c>
      <c r="G45" s="2">
        <v>1.33</v>
      </c>
      <c r="H45" s="2">
        <v>0.94</v>
      </c>
      <c r="I45" s="2">
        <v>92</v>
      </c>
      <c r="J45" s="2">
        <v>62</v>
      </c>
      <c r="K45" s="2">
        <v>99</v>
      </c>
      <c r="L45" s="2" t="s">
        <v>24</v>
      </c>
      <c r="M45" s="2" t="s">
        <v>24</v>
      </c>
      <c r="N45" s="2">
        <v>0</v>
      </c>
      <c r="O45" s="2">
        <v>0</v>
      </c>
    </row>
    <row r="46" spans="1:15" x14ac:dyDescent="0.35">
      <c r="A46" s="3">
        <v>44</v>
      </c>
      <c r="B46" s="3" t="s">
        <v>31</v>
      </c>
      <c r="C46" s="3">
        <v>22</v>
      </c>
      <c r="D46" s="3" t="s">
        <v>25</v>
      </c>
      <c r="E46" s="3" t="s">
        <v>26</v>
      </c>
      <c r="F46" s="3">
        <v>3</v>
      </c>
      <c r="G46" s="3">
        <v>2.38</v>
      </c>
      <c r="H46" s="3">
        <v>0.52</v>
      </c>
      <c r="I46" s="3">
        <v>52</v>
      </c>
      <c r="J46" s="3">
        <v>57</v>
      </c>
      <c r="K46" s="3">
        <v>76</v>
      </c>
      <c r="L46" s="3" t="s">
        <v>23</v>
      </c>
      <c r="M46" s="3" t="s">
        <v>29</v>
      </c>
      <c r="N46" s="3">
        <v>0</v>
      </c>
      <c r="O46" s="3">
        <v>0</v>
      </c>
    </row>
    <row r="47" spans="1:15" x14ac:dyDescent="0.35">
      <c r="A47" s="2">
        <v>45</v>
      </c>
      <c r="B47" s="2" t="s">
        <v>31</v>
      </c>
      <c r="C47" s="2">
        <v>29</v>
      </c>
      <c r="D47" s="2" t="s">
        <v>17</v>
      </c>
      <c r="E47" s="2" t="s">
        <v>22</v>
      </c>
      <c r="F47" s="2">
        <v>3</v>
      </c>
      <c r="G47" s="2">
        <v>2.1</v>
      </c>
      <c r="H47" s="2">
        <v>0.57999999999999996</v>
      </c>
      <c r="I47" s="2">
        <v>77</v>
      </c>
      <c r="J47" s="2">
        <v>97</v>
      </c>
      <c r="K47" s="2">
        <v>90</v>
      </c>
      <c r="L47" s="2" t="s">
        <v>27</v>
      </c>
      <c r="M47" s="2" t="s">
        <v>29</v>
      </c>
      <c r="N47" s="2">
        <v>1</v>
      </c>
      <c r="O47" s="2">
        <v>0</v>
      </c>
    </row>
    <row r="48" spans="1:15" x14ac:dyDescent="0.35">
      <c r="A48" s="3">
        <v>46</v>
      </c>
      <c r="B48" s="3" t="s">
        <v>16</v>
      </c>
      <c r="C48" s="3">
        <v>26</v>
      </c>
      <c r="D48" s="3" t="s">
        <v>25</v>
      </c>
      <c r="E48" s="3" t="s">
        <v>22</v>
      </c>
      <c r="F48" s="3">
        <v>1</v>
      </c>
      <c r="G48" s="3">
        <v>2.0299999999999998</v>
      </c>
      <c r="H48" s="3">
        <v>0.87</v>
      </c>
      <c r="I48" s="3">
        <v>70</v>
      </c>
      <c r="J48" s="3">
        <v>65</v>
      </c>
      <c r="K48" s="3">
        <v>71</v>
      </c>
      <c r="L48" s="3" t="s">
        <v>19</v>
      </c>
      <c r="M48" s="3" t="s">
        <v>23</v>
      </c>
      <c r="N48" s="3">
        <v>0</v>
      </c>
      <c r="O48" s="3">
        <v>0</v>
      </c>
    </row>
    <row r="49" spans="1:15" x14ac:dyDescent="0.35">
      <c r="A49" s="2">
        <v>47</v>
      </c>
      <c r="B49" s="2" t="s">
        <v>31</v>
      </c>
      <c r="C49" s="2">
        <v>19</v>
      </c>
      <c r="D49" s="2" t="s">
        <v>17</v>
      </c>
      <c r="E49" s="2" t="s">
        <v>26</v>
      </c>
      <c r="F49" s="2">
        <v>4</v>
      </c>
      <c r="G49" s="2">
        <v>3.29</v>
      </c>
      <c r="H49" s="2">
        <v>0.96</v>
      </c>
      <c r="I49" s="2">
        <v>96</v>
      </c>
      <c r="J49" s="2">
        <v>88</v>
      </c>
      <c r="K49" s="2">
        <v>51</v>
      </c>
      <c r="L49" s="2" t="s">
        <v>29</v>
      </c>
      <c r="M49" s="2" t="s">
        <v>24</v>
      </c>
      <c r="N49" s="2">
        <v>1</v>
      </c>
      <c r="O49" s="2">
        <v>1</v>
      </c>
    </row>
    <row r="50" spans="1:15" x14ac:dyDescent="0.35">
      <c r="A50" s="3">
        <v>48</v>
      </c>
      <c r="B50" s="3" t="s">
        <v>21</v>
      </c>
      <c r="C50" s="3">
        <v>29</v>
      </c>
      <c r="D50" s="3" t="s">
        <v>25</v>
      </c>
      <c r="E50" s="3" t="s">
        <v>22</v>
      </c>
      <c r="F50" s="3">
        <v>3</v>
      </c>
      <c r="G50" s="3">
        <v>3.3</v>
      </c>
      <c r="H50" s="3">
        <v>0.68</v>
      </c>
      <c r="I50" s="3">
        <v>88</v>
      </c>
      <c r="J50" s="3">
        <v>82</v>
      </c>
      <c r="K50" s="3">
        <v>90</v>
      </c>
      <c r="L50" s="3" t="s">
        <v>23</v>
      </c>
      <c r="M50" s="3" t="s">
        <v>20</v>
      </c>
      <c r="N50" s="3">
        <v>1</v>
      </c>
      <c r="O50" s="3">
        <v>1</v>
      </c>
    </row>
    <row r="51" spans="1:15" x14ac:dyDescent="0.35">
      <c r="A51" s="2">
        <v>49</v>
      </c>
      <c r="B51" s="2" t="s">
        <v>31</v>
      </c>
      <c r="C51" s="2">
        <v>21</v>
      </c>
      <c r="D51" s="2" t="s">
        <v>17</v>
      </c>
      <c r="E51" s="2" t="s">
        <v>18</v>
      </c>
      <c r="F51" s="2">
        <v>2</v>
      </c>
      <c r="G51" s="2">
        <v>1.83</v>
      </c>
      <c r="H51" s="2">
        <v>0.54</v>
      </c>
      <c r="I51" s="2">
        <v>51</v>
      </c>
      <c r="J51" s="2">
        <v>51</v>
      </c>
      <c r="K51" s="2">
        <v>70</v>
      </c>
      <c r="L51" s="2" t="s">
        <v>27</v>
      </c>
      <c r="M51" s="2" t="s">
        <v>20</v>
      </c>
      <c r="N51" s="2">
        <v>1</v>
      </c>
      <c r="O51" s="2">
        <v>1</v>
      </c>
    </row>
    <row r="52" spans="1:15" x14ac:dyDescent="0.35">
      <c r="A52" s="3">
        <v>50</v>
      </c>
      <c r="B52" s="3" t="s">
        <v>31</v>
      </c>
      <c r="C52" s="3">
        <v>25</v>
      </c>
      <c r="D52" s="3" t="s">
        <v>25</v>
      </c>
      <c r="E52" s="3" t="s">
        <v>26</v>
      </c>
      <c r="F52" s="3">
        <v>2</v>
      </c>
      <c r="G52" s="3">
        <v>2.65</v>
      </c>
      <c r="H52" s="3">
        <v>0.57999999999999996</v>
      </c>
      <c r="I52" s="3">
        <v>99</v>
      </c>
      <c r="J52" s="3">
        <v>85</v>
      </c>
      <c r="K52" s="3">
        <v>75</v>
      </c>
      <c r="L52" s="3" t="s">
        <v>19</v>
      </c>
      <c r="M52" s="3" t="s">
        <v>23</v>
      </c>
      <c r="N52" s="3">
        <v>0</v>
      </c>
      <c r="O52" s="3">
        <v>1</v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2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12" customWidth="1"/>
    <col min="2" max="2" width="14" customWidth="1"/>
    <col min="3" max="3" width="10" customWidth="1"/>
    <col min="4" max="5" width="8" customWidth="1"/>
    <col min="6" max="6" width="10" customWidth="1"/>
    <col min="7" max="7" width="12" customWidth="1"/>
    <col min="8" max="8" width="10" customWidth="1"/>
    <col min="9" max="10" width="12" customWidth="1"/>
    <col min="11" max="11" width="10" customWidth="1"/>
    <col min="12" max="13" width="12" customWidth="1"/>
    <col min="14" max="14" width="16" customWidth="1"/>
    <col min="15" max="15" width="14" customWidth="1"/>
  </cols>
  <sheetData>
    <row r="1" spans="1:15" ht="30" customHeight="1" x14ac:dyDescent="0.35">
      <c r="A1" s="12" t="s">
        <v>32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5" ht="35" customHeight="1" x14ac:dyDescent="0.35">
      <c r="A2" s="4" t="s">
        <v>1</v>
      </c>
      <c r="B2" s="4" t="s">
        <v>33</v>
      </c>
      <c r="C2" s="4" t="s">
        <v>34</v>
      </c>
      <c r="D2" s="4" t="s">
        <v>35</v>
      </c>
      <c r="E2" s="4" t="s">
        <v>36</v>
      </c>
      <c r="F2" s="4" t="s">
        <v>37</v>
      </c>
      <c r="G2" s="4" t="s">
        <v>38</v>
      </c>
      <c r="H2" s="4" t="s">
        <v>39</v>
      </c>
      <c r="I2" s="4" t="s">
        <v>40</v>
      </c>
      <c r="J2" s="4" t="s">
        <v>41</v>
      </c>
      <c r="K2" s="4" t="s">
        <v>42</v>
      </c>
      <c r="L2" s="4" t="s">
        <v>43</v>
      </c>
      <c r="M2" s="4" t="s">
        <v>44</v>
      </c>
      <c r="N2" s="4" t="s">
        <v>45</v>
      </c>
      <c r="O2" s="4" t="s">
        <v>46</v>
      </c>
    </row>
    <row r="3" spans="1:15" x14ac:dyDescent="0.35">
      <c r="A3" s="3" t="s">
        <v>47</v>
      </c>
      <c r="B3" s="3" t="s">
        <v>48</v>
      </c>
      <c r="C3" s="3" t="s">
        <v>49</v>
      </c>
      <c r="D3" s="3">
        <v>4</v>
      </c>
      <c r="E3" s="3">
        <v>10</v>
      </c>
      <c r="F3" s="3">
        <v>8</v>
      </c>
      <c r="G3" s="3">
        <f t="shared" ref="G3:G34" si="0">F3/E3*100</f>
        <v>80</v>
      </c>
      <c r="H3" s="3">
        <v>5</v>
      </c>
      <c r="I3" s="3">
        <v>4</v>
      </c>
      <c r="J3" s="3">
        <f t="shared" ref="J3:J34" si="1">I3/H3*100</f>
        <v>80</v>
      </c>
      <c r="K3" s="3" t="s">
        <v>50</v>
      </c>
      <c r="L3" s="3" t="s">
        <v>51</v>
      </c>
      <c r="M3" s="3" t="str">
        <f t="shared" ref="M3:M34" si="2">IF(OR(G3&lt;50,J3&lt;50,K3="No"),"AT RISK","OK")</f>
        <v>OK</v>
      </c>
      <c r="N3" s="3"/>
      <c r="O3" s="3"/>
    </row>
    <row r="4" spans="1:15" x14ac:dyDescent="0.35">
      <c r="A4" s="5" t="s">
        <v>52</v>
      </c>
      <c r="B4" s="5" t="s">
        <v>53</v>
      </c>
      <c r="C4" s="5" t="s">
        <v>54</v>
      </c>
      <c r="D4" s="5">
        <v>8</v>
      </c>
      <c r="E4" s="5">
        <v>10</v>
      </c>
      <c r="F4" s="5">
        <v>7</v>
      </c>
      <c r="G4" s="5">
        <f t="shared" si="0"/>
        <v>70</v>
      </c>
      <c r="H4" s="5">
        <v>5</v>
      </c>
      <c r="I4" s="5">
        <v>3</v>
      </c>
      <c r="J4" s="5">
        <f t="shared" si="1"/>
        <v>60</v>
      </c>
      <c r="K4" s="5" t="s">
        <v>50</v>
      </c>
      <c r="L4" s="5" t="s">
        <v>51</v>
      </c>
      <c r="M4" s="5" t="str">
        <f t="shared" si="2"/>
        <v>OK</v>
      </c>
      <c r="N4" s="5"/>
      <c r="O4" s="5"/>
    </row>
    <row r="5" spans="1:15" x14ac:dyDescent="0.35">
      <c r="A5" s="3" t="s">
        <v>55</v>
      </c>
      <c r="B5" s="3" t="s">
        <v>56</v>
      </c>
      <c r="C5" s="3" t="s">
        <v>57</v>
      </c>
      <c r="D5" s="3">
        <v>4</v>
      </c>
      <c r="E5" s="3">
        <v>10</v>
      </c>
      <c r="F5" s="3">
        <v>10</v>
      </c>
      <c r="G5" s="3">
        <f t="shared" si="0"/>
        <v>100</v>
      </c>
      <c r="H5" s="3">
        <v>5</v>
      </c>
      <c r="I5" s="3">
        <v>3</v>
      </c>
      <c r="J5" s="3">
        <f t="shared" si="1"/>
        <v>60</v>
      </c>
      <c r="K5" s="3" t="s">
        <v>50</v>
      </c>
      <c r="L5" s="3" t="s">
        <v>51</v>
      </c>
      <c r="M5" s="3" t="str">
        <f t="shared" si="2"/>
        <v>OK</v>
      </c>
      <c r="N5" s="3"/>
      <c r="O5" s="3"/>
    </row>
    <row r="6" spans="1:15" x14ac:dyDescent="0.35">
      <c r="A6" s="5" t="s">
        <v>58</v>
      </c>
      <c r="B6" s="5" t="s">
        <v>59</v>
      </c>
      <c r="C6" s="5" t="s">
        <v>60</v>
      </c>
      <c r="D6" s="5">
        <v>8</v>
      </c>
      <c r="E6" s="5">
        <v>10</v>
      </c>
      <c r="F6" s="5">
        <v>8</v>
      </c>
      <c r="G6" s="5">
        <f t="shared" si="0"/>
        <v>80</v>
      </c>
      <c r="H6" s="5">
        <v>5</v>
      </c>
      <c r="I6" s="5">
        <v>3</v>
      </c>
      <c r="J6" s="5">
        <f t="shared" si="1"/>
        <v>60</v>
      </c>
      <c r="K6" s="5" t="s">
        <v>50</v>
      </c>
      <c r="L6" s="5" t="s">
        <v>51</v>
      </c>
      <c r="M6" s="5" t="str">
        <f t="shared" si="2"/>
        <v>OK</v>
      </c>
      <c r="N6" s="5"/>
      <c r="O6" s="5"/>
    </row>
    <row r="7" spans="1:15" x14ac:dyDescent="0.35">
      <c r="A7" s="3" t="s">
        <v>61</v>
      </c>
      <c r="B7" s="3" t="s">
        <v>62</v>
      </c>
      <c r="C7" s="3" t="s">
        <v>63</v>
      </c>
      <c r="D7" s="3">
        <v>4</v>
      </c>
      <c r="E7" s="3">
        <v>10</v>
      </c>
      <c r="F7" s="3">
        <v>9</v>
      </c>
      <c r="G7" s="3">
        <f t="shared" si="0"/>
        <v>90</v>
      </c>
      <c r="H7" s="3">
        <v>5</v>
      </c>
      <c r="I7" s="3">
        <v>4</v>
      </c>
      <c r="J7" s="3">
        <f t="shared" si="1"/>
        <v>80</v>
      </c>
      <c r="K7" s="3" t="s">
        <v>64</v>
      </c>
      <c r="L7" s="3" t="s">
        <v>51</v>
      </c>
      <c r="M7" s="3" t="str">
        <f t="shared" si="2"/>
        <v>AT RISK</v>
      </c>
      <c r="N7" s="3"/>
      <c r="O7" s="3"/>
    </row>
    <row r="8" spans="1:15" x14ac:dyDescent="0.35">
      <c r="A8" s="5" t="s">
        <v>65</v>
      </c>
      <c r="B8" s="5" t="s">
        <v>66</v>
      </c>
      <c r="C8" s="5" t="s">
        <v>49</v>
      </c>
      <c r="D8" s="5">
        <v>8</v>
      </c>
      <c r="E8" s="5">
        <v>10</v>
      </c>
      <c r="F8" s="5">
        <v>7</v>
      </c>
      <c r="G8" s="5">
        <f t="shared" si="0"/>
        <v>70</v>
      </c>
      <c r="H8" s="5">
        <v>5</v>
      </c>
      <c r="I8" s="5">
        <v>4</v>
      </c>
      <c r="J8" s="5">
        <f t="shared" si="1"/>
        <v>80</v>
      </c>
      <c r="K8" s="5" t="s">
        <v>50</v>
      </c>
      <c r="L8" s="5" t="s">
        <v>51</v>
      </c>
      <c r="M8" s="5" t="str">
        <f t="shared" si="2"/>
        <v>OK</v>
      </c>
      <c r="N8" s="5"/>
      <c r="O8" s="5"/>
    </row>
    <row r="9" spans="1:15" x14ac:dyDescent="0.35">
      <c r="A9" s="3" t="s">
        <v>67</v>
      </c>
      <c r="B9" s="3" t="s">
        <v>68</v>
      </c>
      <c r="C9" s="3" t="s">
        <v>54</v>
      </c>
      <c r="D9" s="3">
        <v>4</v>
      </c>
      <c r="E9" s="3">
        <v>10</v>
      </c>
      <c r="F9" s="3">
        <v>8</v>
      </c>
      <c r="G9" s="3">
        <f t="shared" si="0"/>
        <v>80</v>
      </c>
      <c r="H9" s="3">
        <v>5</v>
      </c>
      <c r="I9" s="3">
        <v>4</v>
      </c>
      <c r="J9" s="3">
        <f t="shared" si="1"/>
        <v>80</v>
      </c>
      <c r="K9" s="3" t="s">
        <v>50</v>
      </c>
      <c r="L9" s="3" t="s">
        <v>51</v>
      </c>
      <c r="M9" s="3" t="str">
        <f t="shared" si="2"/>
        <v>OK</v>
      </c>
      <c r="N9" s="3"/>
      <c r="O9" s="3"/>
    </row>
    <row r="10" spans="1:15" x14ac:dyDescent="0.35">
      <c r="A10" s="5" t="s">
        <v>69</v>
      </c>
      <c r="B10" s="5" t="s">
        <v>70</v>
      </c>
      <c r="C10" s="5" t="s">
        <v>57</v>
      </c>
      <c r="D10" s="5">
        <v>8</v>
      </c>
      <c r="E10" s="5">
        <v>10</v>
      </c>
      <c r="F10" s="5">
        <v>8</v>
      </c>
      <c r="G10" s="5">
        <f t="shared" si="0"/>
        <v>80</v>
      </c>
      <c r="H10" s="5">
        <v>5</v>
      </c>
      <c r="I10" s="5">
        <v>4</v>
      </c>
      <c r="J10" s="5">
        <f t="shared" si="1"/>
        <v>80</v>
      </c>
      <c r="K10" s="5" t="s">
        <v>50</v>
      </c>
      <c r="L10" s="5" t="s">
        <v>51</v>
      </c>
      <c r="M10" s="5" t="str">
        <f t="shared" si="2"/>
        <v>OK</v>
      </c>
      <c r="N10" s="5"/>
      <c r="O10" s="5"/>
    </row>
    <row r="11" spans="1:15" x14ac:dyDescent="0.35">
      <c r="A11" s="3" t="s">
        <v>71</v>
      </c>
      <c r="B11" s="3" t="s">
        <v>72</v>
      </c>
      <c r="C11" s="3" t="s">
        <v>60</v>
      </c>
      <c r="D11" s="3">
        <v>4</v>
      </c>
      <c r="E11" s="3">
        <v>10</v>
      </c>
      <c r="F11" s="3">
        <v>8</v>
      </c>
      <c r="G11" s="3">
        <f t="shared" si="0"/>
        <v>80</v>
      </c>
      <c r="H11" s="3">
        <v>5</v>
      </c>
      <c r="I11" s="3">
        <v>2</v>
      </c>
      <c r="J11" s="3">
        <f t="shared" si="1"/>
        <v>40</v>
      </c>
      <c r="K11" s="3" t="s">
        <v>50</v>
      </c>
      <c r="L11" s="3" t="s">
        <v>73</v>
      </c>
      <c r="M11" s="3" t="str">
        <f t="shared" si="2"/>
        <v>AT RISK</v>
      </c>
      <c r="N11" s="3"/>
      <c r="O11" s="3"/>
    </row>
    <row r="12" spans="1:15" x14ac:dyDescent="0.35">
      <c r="A12" s="5" t="s">
        <v>74</v>
      </c>
      <c r="B12" s="5" t="s">
        <v>75</v>
      </c>
      <c r="C12" s="5" t="s">
        <v>63</v>
      </c>
      <c r="D12" s="5">
        <v>8</v>
      </c>
      <c r="E12" s="5">
        <v>10</v>
      </c>
      <c r="F12" s="5">
        <v>6</v>
      </c>
      <c r="G12" s="5">
        <f t="shared" si="0"/>
        <v>60</v>
      </c>
      <c r="H12" s="5">
        <v>5</v>
      </c>
      <c r="I12" s="5">
        <v>4</v>
      </c>
      <c r="J12" s="5">
        <f t="shared" si="1"/>
        <v>80</v>
      </c>
      <c r="K12" s="5" t="s">
        <v>50</v>
      </c>
      <c r="L12" s="5" t="s">
        <v>51</v>
      </c>
      <c r="M12" s="5" t="str">
        <f t="shared" si="2"/>
        <v>OK</v>
      </c>
      <c r="N12" s="5"/>
      <c r="O12" s="5"/>
    </row>
    <row r="13" spans="1:15" x14ac:dyDescent="0.35">
      <c r="A13" s="3" t="s">
        <v>76</v>
      </c>
      <c r="B13" s="3" t="s">
        <v>77</v>
      </c>
      <c r="C13" s="3" t="s">
        <v>49</v>
      </c>
      <c r="D13" s="3">
        <v>4</v>
      </c>
      <c r="E13" s="3">
        <v>10</v>
      </c>
      <c r="F13" s="3">
        <v>6</v>
      </c>
      <c r="G13" s="3">
        <f t="shared" si="0"/>
        <v>60</v>
      </c>
      <c r="H13" s="3">
        <v>5</v>
      </c>
      <c r="I13" s="3">
        <v>4</v>
      </c>
      <c r="J13" s="3">
        <f t="shared" si="1"/>
        <v>80</v>
      </c>
      <c r="K13" s="3" t="s">
        <v>64</v>
      </c>
      <c r="L13" s="3" t="s">
        <v>51</v>
      </c>
      <c r="M13" s="3" t="str">
        <f t="shared" si="2"/>
        <v>AT RISK</v>
      </c>
      <c r="N13" s="3"/>
      <c r="O13" s="3"/>
    </row>
    <row r="14" spans="1:15" x14ac:dyDescent="0.35">
      <c r="A14" s="5" t="s">
        <v>78</v>
      </c>
      <c r="B14" s="5" t="s">
        <v>79</v>
      </c>
      <c r="C14" s="5" t="s">
        <v>54</v>
      </c>
      <c r="D14" s="5">
        <v>8</v>
      </c>
      <c r="E14" s="5">
        <v>10</v>
      </c>
      <c r="F14" s="5">
        <v>7</v>
      </c>
      <c r="G14" s="5">
        <f t="shared" si="0"/>
        <v>70</v>
      </c>
      <c r="H14" s="5">
        <v>5</v>
      </c>
      <c r="I14" s="5">
        <v>3</v>
      </c>
      <c r="J14" s="5">
        <f t="shared" si="1"/>
        <v>60</v>
      </c>
      <c r="K14" s="5" t="s">
        <v>50</v>
      </c>
      <c r="L14" s="5" t="s">
        <v>51</v>
      </c>
      <c r="M14" s="5" t="str">
        <f t="shared" si="2"/>
        <v>OK</v>
      </c>
      <c r="N14" s="5"/>
      <c r="O14" s="5"/>
    </row>
    <row r="15" spans="1:15" x14ac:dyDescent="0.35">
      <c r="A15" s="3" t="s">
        <v>80</v>
      </c>
      <c r="B15" s="3" t="s">
        <v>81</v>
      </c>
      <c r="C15" s="3" t="s">
        <v>57</v>
      </c>
      <c r="D15" s="3">
        <v>4</v>
      </c>
      <c r="E15" s="3">
        <v>10</v>
      </c>
      <c r="F15" s="3">
        <v>6</v>
      </c>
      <c r="G15" s="3">
        <f t="shared" si="0"/>
        <v>60</v>
      </c>
      <c r="H15" s="3">
        <v>5</v>
      </c>
      <c r="I15" s="3">
        <v>4</v>
      </c>
      <c r="J15" s="3">
        <f t="shared" si="1"/>
        <v>80</v>
      </c>
      <c r="K15" s="3" t="s">
        <v>50</v>
      </c>
      <c r="L15" s="3" t="s">
        <v>51</v>
      </c>
      <c r="M15" s="3" t="str">
        <f t="shared" si="2"/>
        <v>OK</v>
      </c>
      <c r="N15" s="3"/>
      <c r="O15" s="3"/>
    </row>
    <row r="16" spans="1:15" x14ac:dyDescent="0.35">
      <c r="A16" s="5" t="s">
        <v>82</v>
      </c>
      <c r="B16" s="5" t="s">
        <v>83</v>
      </c>
      <c r="C16" s="5" t="s">
        <v>60</v>
      </c>
      <c r="D16" s="5">
        <v>8</v>
      </c>
      <c r="E16" s="5">
        <v>10</v>
      </c>
      <c r="F16" s="5">
        <v>7</v>
      </c>
      <c r="G16" s="5">
        <f t="shared" si="0"/>
        <v>70</v>
      </c>
      <c r="H16" s="5">
        <v>5</v>
      </c>
      <c r="I16" s="5">
        <v>4</v>
      </c>
      <c r="J16" s="5">
        <f t="shared" si="1"/>
        <v>80</v>
      </c>
      <c r="K16" s="5" t="s">
        <v>50</v>
      </c>
      <c r="L16" s="5" t="s">
        <v>51</v>
      </c>
      <c r="M16" s="5" t="str">
        <f t="shared" si="2"/>
        <v>OK</v>
      </c>
      <c r="N16" s="5"/>
      <c r="O16" s="5"/>
    </row>
    <row r="17" spans="1:15" x14ac:dyDescent="0.35">
      <c r="A17" s="3" t="s">
        <v>84</v>
      </c>
      <c r="B17" s="3" t="s">
        <v>85</v>
      </c>
      <c r="C17" s="3" t="s">
        <v>63</v>
      </c>
      <c r="D17" s="3">
        <v>4</v>
      </c>
      <c r="E17" s="3">
        <v>10</v>
      </c>
      <c r="F17" s="3">
        <v>7</v>
      </c>
      <c r="G17" s="3">
        <f t="shared" si="0"/>
        <v>70</v>
      </c>
      <c r="H17" s="3">
        <v>5</v>
      </c>
      <c r="I17" s="3">
        <v>4</v>
      </c>
      <c r="J17" s="3">
        <f t="shared" si="1"/>
        <v>80</v>
      </c>
      <c r="K17" s="3" t="s">
        <v>50</v>
      </c>
      <c r="L17" s="3" t="s">
        <v>51</v>
      </c>
      <c r="M17" s="3" t="str">
        <f t="shared" si="2"/>
        <v>OK</v>
      </c>
      <c r="N17" s="3"/>
      <c r="O17" s="3"/>
    </row>
    <row r="18" spans="1:15" x14ac:dyDescent="0.35">
      <c r="A18" s="5" t="s">
        <v>86</v>
      </c>
      <c r="B18" s="5" t="s">
        <v>87</v>
      </c>
      <c r="C18" s="5" t="s">
        <v>49</v>
      </c>
      <c r="D18" s="5">
        <v>8</v>
      </c>
      <c r="E18" s="5">
        <v>10</v>
      </c>
      <c r="F18" s="5">
        <v>6</v>
      </c>
      <c r="G18" s="5">
        <f t="shared" si="0"/>
        <v>60</v>
      </c>
      <c r="H18" s="5">
        <v>5</v>
      </c>
      <c r="I18" s="5">
        <v>4</v>
      </c>
      <c r="J18" s="5">
        <f t="shared" si="1"/>
        <v>80</v>
      </c>
      <c r="K18" s="5" t="s">
        <v>64</v>
      </c>
      <c r="L18" s="5" t="s">
        <v>51</v>
      </c>
      <c r="M18" s="5" t="str">
        <f t="shared" si="2"/>
        <v>AT RISK</v>
      </c>
      <c r="N18" s="5"/>
      <c r="O18" s="5"/>
    </row>
    <row r="19" spans="1:15" x14ac:dyDescent="0.35">
      <c r="A19" s="3" t="s">
        <v>88</v>
      </c>
      <c r="B19" s="3" t="s">
        <v>89</v>
      </c>
      <c r="C19" s="3" t="s">
        <v>54</v>
      </c>
      <c r="D19" s="3">
        <v>4</v>
      </c>
      <c r="E19" s="3">
        <v>10</v>
      </c>
      <c r="F19" s="3">
        <v>8</v>
      </c>
      <c r="G19" s="3">
        <f t="shared" si="0"/>
        <v>80</v>
      </c>
      <c r="H19" s="3">
        <v>5</v>
      </c>
      <c r="I19" s="3">
        <v>3</v>
      </c>
      <c r="J19" s="3">
        <f t="shared" si="1"/>
        <v>60</v>
      </c>
      <c r="K19" s="3" t="s">
        <v>50</v>
      </c>
      <c r="L19" s="3" t="s">
        <v>51</v>
      </c>
      <c r="M19" s="3" t="str">
        <f t="shared" si="2"/>
        <v>OK</v>
      </c>
      <c r="N19" s="3"/>
      <c r="O19" s="3"/>
    </row>
    <row r="20" spans="1:15" x14ac:dyDescent="0.35">
      <c r="A20" s="5" t="s">
        <v>90</v>
      </c>
      <c r="B20" s="5" t="s">
        <v>91</v>
      </c>
      <c r="C20" s="5" t="s">
        <v>57</v>
      </c>
      <c r="D20" s="5">
        <v>8</v>
      </c>
      <c r="E20" s="5">
        <v>10</v>
      </c>
      <c r="F20" s="5">
        <v>7</v>
      </c>
      <c r="G20" s="5">
        <f t="shared" si="0"/>
        <v>70</v>
      </c>
      <c r="H20" s="5">
        <v>5</v>
      </c>
      <c r="I20" s="5">
        <v>4</v>
      </c>
      <c r="J20" s="5">
        <f t="shared" si="1"/>
        <v>80</v>
      </c>
      <c r="K20" s="5" t="s">
        <v>50</v>
      </c>
      <c r="L20" s="5" t="s">
        <v>51</v>
      </c>
      <c r="M20" s="5" t="str">
        <f t="shared" si="2"/>
        <v>OK</v>
      </c>
      <c r="N20" s="5"/>
      <c r="O20" s="5"/>
    </row>
    <row r="21" spans="1:15" x14ac:dyDescent="0.35">
      <c r="A21" s="3" t="s">
        <v>92</v>
      </c>
      <c r="B21" s="3" t="s">
        <v>93</v>
      </c>
      <c r="C21" s="3" t="s">
        <v>60</v>
      </c>
      <c r="D21" s="3">
        <v>4</v>
      </c>
      <c r="E21" s="3">
        <v>10</v>
      </c>
      <c r="F21" s="3">
        <v>6</v>
      </c>
      <c r="G21" s="3">
        <f t="shared" si="0"/>
        <v>60</v>
      </c>
      <c r="H21" s="3">
        <v>5</v>
      </c>
      <c r="I21" s="3">
        <v>3</v>
      </c>
      <c r="J21" s="3">
        <f t="shared" si="1"/>
        <v>60</v>
      </c>
      <c r="K21" s="3" t="s">
        <v>50</v>
      </c>
      <c r="L21" s="3" t="s">
        <v>51</v>
      </c>
      <c r="M21" s="3" t="str">
        <f t="shared" si="2"/>
        <v>OK</v>
      </c>
      <c r="N21" s="3"/>
      <c r="O21" s="3"/>
    </row>
    <row r="22" spans="1:15" x14ac:dyDescent="0.35">
      <c r="A22" s="5" t="s">
        <v>94</v>
      </c>
      <c r="B22" s="5" t="s">
        <v>95</v>
      </c>
      <c r="C22" s="5" t="s">
        <v>63</v>
      </c>
      <c r="D22" s="5">
        <v>8</v>
      </c>
      <c r="E22" s="5">
        <v>10</v>
      </c>
      <c r="F22" s="5">
        <v>8</v>
      </c>
      <c r="G22" s="5">
        <f t="shared" si="0"/>
        <v>80</v>
      </c>
      <c r="H22" s="5">
        <v>5</v>
      </c>
      <c r="I22" s="5">
        <v>5</v>
      </c>
      <c r="J22" s="5">
        <f t="shared" si="1"/>
        <v>100</v>
      </c>
      <c r="K22" s="5" t="s">
        <v>50</v>
      </c>
      <c r="L22" s="5" t="s">
        <v>51</v>
      </c>
      <c r="M22" s="5" t="str">
        <f t="shared" si="2"/>
        <v>OK</v>
      </c>
      <c r="N22" s="5"/>
      <c r="O22" s="5"/>
    </row>
    <row r="23" spans="1:15" x14ac:dyDescent="0.35">
      <c r="A23" s="3" t="s">
        <v>96</v>
      </c>
      <c r="B23" s="3" t="s">
        <v>97</v>
      </c>
      <c r="C23" s="3" t="s">
        <v>49</v>
      </c>
      <c r="D23" s="3">
        <v>4</v>
      </c>
      <c r="E23" s="3">
        <v>10</v>
      </c>
      <c r="F23" s="3">
        <v>5</v>
      </c>
      <c r="G23" s="3">
        <f t="shared" si="0"/>
        <v>50</v>
      </c>
      <c r="H23" s="3">
        <v>5</v>
      </c>
      <c r="I23" s="3">
        <v>3</v>
      </c>
      <c r="J23" s="3">
        <f t="shared" si="1"/>
        <v>60</v>
      </c>
      <c r="K23" s="3" t="s">
        <v>50</v>
      </c>
      <c r="L23" s="3" t="s">
        <v>51</v>
      </c>
      <c r="M23" s="3" t="str">
        <f t="shared" si="2"/>
        <v>OK</v>
      </c>
      <c r="N23" s="3"/>
      <c r="O23" s="3"/>
    </row>
    <row r="24" spans="1:15" x14ac:dyDescent="0.35">
      <c r="A24" s="5" t="s">
        <v>98</v>
      </c>
      <c r="B24" s="5" t="s">
        <v>99</v>
      </c>
      <c r="C24" s="5" t="s">
        <v>54</v>
      </c>
      <c r="D24" s="5">
        <v>8</v>
      </c>
      <c r="E24" s="5">
        <v>10</v>
      </c>
      <c r="F24" s="5">
        <v>6</v>
      </c>
      <c r="G24" s="5">
        <f t="shared" si="0"/>
        <v>60</v>
      </c>
      <c r="H24" s="5">
        <v>5</v>
      </c>
      <c r="I24" s="5">
        <v>4</v>
      </c>
      <c r="J24" s="5">
        <f t="shared" si="1"/>
        <v>80</v>
      </c>
      <c r="K24" s="5" t="s">
        <v>50</v>
      </c>
      <c r="L24" s="5" t="s">
        <v>51</v>
      </c>
      <c r="M24" s="5" t="str">
        <f t="shared" si="2"/>
        <v>OK</v>
      </c>
      <c r="N24" s="5"/>
      <c r="O24" s="5"/>
    </row>
    <row r="25" spans="1:15" x14ac:dyDescent="0.35">
      <c r="A25" s="3" t="s">
        <v>100</v>
      </c>
      <c r="B25" s="3" t="s">
        <v>101</v>
      </c>
      <c r="C25" s="3" t="s">
        <v>57</v>
      </c>
      <c r="D25" s="3">
        <v>4</v>
      </c>
      <c r="E25" s="3">
        <v>10</v>
      </c>
      <c r="F25" s="3">
        <v>9</v>
      </c>
      <c r="G25" s="3">
        <f t="shared" si="0"/>
        <v>90</v>
      </c>
      <c r="H25" s="3">
        <v>5</v>
      </c>
      <c r="I25" s="3">
        <v>4</v>
      </c>
      <c r="J25" s="3">
        <f t="shared" si="1"/>
        <v>80</v>
      </c>
      <c r="K25" s="3" t="s">
        <v>50</v>
      </c>
      <c r="L25" s="3" t="s">
        <v>51</v>
      </c>
      <c r="M25" s="3" t="str">
        <f t="shared" si="2"/>
        <v>OK</v>
      </c>
      <c r="N25" s="3"/>
      <c r="O25" s="3"/>
    </row>
    <row r="26" spans="1:15" x14ac:dyDescent="0.35">
      <c r="A26" s="5" t="s">
        <v>102</v>
      </c>
      <c r="B26" s="5" t="s">
        <v>103</v>
      </c>
      <c r="C26" s="5" t="s">
        <v>60</v>
      </c>
      <c r="D26" s="5">
        <v>8</v>
      </c>
      <c r="E26" s="5">
        <v>10</v>
      </c>
      <c r="F26" s="5">
        <v>7</v>
      </c>
      <c r="G26" s="5">
        <f t="shared" si="0"/>
        <v>70</v>
      </c>
      <c r="H26" s="5">
        <v>5</v>
      </c>
      <c r="I26" s="5">
        <v>4</v>
      </c>
      <c r="J26" s="5">
        <f t="shared" si="1"/>
        <v>80</v>
      </c>
      <c r="K26" s="5" t="s">
        <v>64</v>
      </c>
      <c r="L26" s="5" t="s">
        <v>51</v>
      </c>
      <c r="M26" s="5" t="str">
        <f t="shared" si="2"/>
        <v>AT RISK</v>
      </c>
      <c r="N26" s="5"/>
      <c r="O26" s="5"/>
    </row>
    <row r="27" spans="1:15" x14ac:dyDescent="0.35">
      <c r="A27" s="3" t="s">
        <v>104</v>
      </c>
      <c r="B27" s="3" t="s">
        <v>105</v>
      </c>
      <c r="C27" s="3" t="s">
        <v>63</v>
      </c>
      <c r="D27" s="3">
        <v>4</v>
      </c>
      <c r="E27" s="3">
        <v>10</v>
      </c>
      <c r="F27" s="3">
        <v>6</v>
      </c>
      <c r="G27" s="3">
        <f t="shared" si="0"/>
        <v>60</v>
      </c>
      <c r="H27" s="3">
        <v>5</v>
      </c>
      <c r="I27" s="3">
        <v>3</v>
      </c>
      <c r="J27" s="3">
        <f t="shared" si="1"/>
        <v>60</v>
      </c>
      <c r="K27" s="3" t="s">
        <v>50</v>
      </c>
      <c r="L27" s="3" t="s">
        <v>51</v>
      </c>
      <c r="M27" s="3" t="str">
        <f t="shared" si="2"/>
        <v>OK</v>
      </c>
      <c r="N27" s="3"/>
      <c r="O27" s="3"/>
    </row>
    <row r="28" spans="1:15" x14ac:dyDescent="0.35">
      <c r="A28" s="5" t="s">
        <v>106</v>
      </c>
      <c r="B28" s="5" t="s">
        <v>107</v>
      </c>
      <c r="C28" s="5" t="s">
        <v>49</v>
      </c>
      <c r="D28" s="5">
        <v>8</v>
      </c>
      <c r="E28" s="5">
        <v>10</v>
      </c>
      <c r="F28" s="5">
        <v>6</v>
      </c>
      <c r="G28" s="5">
        <f t="shared" si="0"/>
        <v>60</v>
      </c>
      <c r="H28" s="5">
        <v>5</v>
      </c>
      <c r="I28" s="5">
        <v>4</v>
      </c>
      <c r="J28" s="5">
        <f t="shared" si="1"/>
        <v>80</v>
      </c>
      <c r="K28" s="5" t="s">
        <v>50</v>
      </c>
      <c r="L28" s="5" t="s">
        <v>51</v>
      </c>
      <c r="M28" s="5" t="str">
        <f t="shared" si="2"/>
        <v>OK</v>
      </c>
      <c r="N28" s="5"/>
      <c r="O28" s="5"/>
    </row>
    <row r="29" spans="1:15" x14ac:dyDescent="0.35">
      <c r="A29" s="3" t="s">
        <v>108</v>
      </c>
      <c r="B29" s="3" t="s">
        <v>109</v>
      </c>
      <c r="C29" s="3" t="s">
        <v>54</v>
      </c>
      <c r="D29" s="3">
        <v>4</v>
      </c>
      <c r="E29" s="3">
        <v>10</v>
      </c>
      <c r="F29" s="3">
        <v>9</v>
      </c>
      <c r="G29" s="3">
        <f t="shared" si="0"/>
        <v>90</v>
      </c>
      <c r="H29" s="3">
        <v>5</v>
      </c>
      <c r="I29" s="3">
        <v>5</v>
      </c>
      <c r="J29" s="3">
        <f t="shared" si="1"/>
        <v>100</v>
      </c>
      <c r="K29" s="3" t="s">
        <v>50</v>
      </c>
      <c r="L29" s="3" t="s">
        <v>51</v>
      </c>
      <c r="M29" s="3" t="str">
        <f t="shared" si="2"/>
        <v>OK</v>
      </c>
      <c r="N29" s="3"/>
      <c r="O29" s="3"/>
    </row>
    <row r="30" spans="1:15" x14ac:dyDescent="0.35">
      <c r="A30" s="5" t="s">
        <v>110</v>
      </c>
      <c r="B30" s="5" t="s">
        <v>111</v>
      </c>
      <c r="C30" s="5" t="s">
        <v>57</v>
      </c>
      <c r="D30" s="5">
        <v>8</v>
      </c>
      <c r="E30" s="5">
        <v>10</v>
      </c>
      <c r="F30" s="5">
        <v>9</v>
      </c>
      <c r="G30" s="5">
        <f t="shared" si="0"/>
        <v>90</v>
      </c>
      <c r="H30" s="5">
        <v>5</v>
      </c>
      <c r="I30" s="5">
        <v>5</v>
      </c>
      <c r="J30" s="5">
        <f t="shared" si="1"/>
        <v>100</v>
      </c>
      <c r="K30" s="5" t="s">
        <v>50</v>
      </c>
      <c r="L30" s="5" t="s">
        <v>51</v>
      </c>
      <c r="M30" s="5" t="str">
        <f t="shared" si="2"/>
        <v>OK</v>
      </c>
      <c r="N30" s="5"/>
      <c r="O30" s="5"/>
    </row>
    <row r="31" spans="1:15" x14ac:dyDescent="0.35">
      <c r="A31" s="3" t="s">
        <v>112</v>
      </c>
      <c r="B31" s="3" t="s">
        <v>113</v>
      </c>
      <c r="C31" s="3" t="s">
        <v>60</v>
      </c>
      <c r="D31" s="3">
        <v>4</v>
      </c>
      <c r="E31" s="3">
        <v>10</v>
      </c>
      <c r="F31" s="3">
        <v>8</v>
      </c>
      <c r="G31" s="3">
        <f t="shared" si="0"/>
        <v>80</v>
      </c>
      <c r="H31" s="3">
        <v>5</v>
      </c>
      <c r="I31" s="3">
        <v>5</v>
      </c>
      <c r="J31" s="3">
        <f t="shared" si="1"/>
        <v>100</v>
      </c>
      <c r="K31" s="3" t="s">
        <v>50</v>
      </c>
      <c r="L31" s="3" t="s">
        <v>51</v>
      </c>
      <c r="M31" s="3" t="str">
        <f t="shared" si="2"/>
        <v>OK</v>
      </c>
      <c r="N31" s="3"/>
      <c r="O31" s="3"/>
    </row>
    <row r="32" spans="1:15" x14ac:dyDescent="0.35">
      <c r="A32" s="5" t="s">
        <v>114</v>
      </c>
      <c r="B32" s="5" t="s">
        <v>115</v>
      </c>
      <c r="C32" s="5" t="s">
        <v>63</v>
      </c>
      <c r="D32" s="5">
        <v>8</v>
      </c>
      <c r="E32" s="5">
        <v>10</v>
      </c>
      <c r="F32" s="5">
        <v>6</v>
      </c>
      <c r="G32" s="5">
        <f t="shared" si="0"/>
        <v>60</v>
      </c>
      <c r="H32" s="5">
        <v>5</v>
      </c>
      <c r="I32" s="5">
        <v>4</v>
      </c>
      <c r="J32" s="5">
        <f t="shared" si="1"/>
        <v>80</v>
      </c>
      <c r="K32" s="5" t="s">
        <v>50</v>
      </c>
      <c r="L32" s="5" t="s">
        <v>51</v>
      </c>
      <c r="M32" s="5" t="str">
        <f t="shared" si="2"/>
        <v>OK</v>
      </c>
      <c r="N32" s="5"/>
      <c r="O32" s="5"/>
    </row>
    <row r="33" spans="1:15" x14ac:dyDescent="0.35">
      <c r="A33" s="3" t="s">
        <v>116</v>
      </c>
      <c r="B33" s="3" t="s">
        <v>117</v>
      </c>
      <c r="C33" s="3" t="s">
        <v>49</v>
      </c>
      <c r="D33" s="3">
        <v>4</v>
      </c>
      <c r="E33" s="3">
        <v>10</v>
      </c>
      <c r="F33" s="3">
        <v>9</v>
      </c>
      <c r="G33" s="3">
        <f t="shared" si="0"/>
        <v>90</v>
      </c>
      <c r="H33" s="3">
        <v>5</v>
      </c>
      <c r="I33" s="3">
        <v>5</v>
      </c>
      <c r="J33" s="3">
        <f t="shared" si="1"/>
        <v>100</v>
      </c>
      <c r="K33" s="3" t="s">
        <v>64</v>
      </c>
      <c r="L33" s="3" t="s">
        <v>51</v>
      </c>
      <c r="M33" s="3" t="str">
        <f t="shared" si="2"/>
        <v>AT RISK</v>
      </c>
      <c r="N33" s="3"/>
      <c r="O33" s="3"/>
    </row>
    <row r="34" spans="1:15" x14ac:dyDescent="0.35">
      <c r="A34" s="5" t="s">
        <v>118</v>
      </c>
      <c r="B34" s="5" t="s">
        <v>119</v>
      </c>
      <c r="C34" s="5" t="s">
        <v>54</v>
      </c>
      <c r="D34" s="5">
        <v>8</v>
      </c>
      <c r="E34" s="5">
        <v>10</v>
      </c>
      <c r="F34" s="5">
        <v>7</v>
      </c>
      <c r="G34" s="5">
        <f t="shared" si="0"/>
        <v>70</v>
      </c>
      <c r="H34" s="5">
        <v>5</v>
      </c>
      <c r="I34" s="5">
        <v>4</v>
      </c>
      <c r="J34" s="5">
        <f t="shared" si="1"/>
        <v>80</v>
      </c>
      <c r="K34" s="5" t="s">
        <v>50</v>
      </c>
      <c r="L34" s="5" t="s">
        <v>51</v>
      </c>
      <c r="M34" s="5" t="str">
        <f t="shared" si="2"/>
        <v>OK</v>
      </c>
      <c r="N34" s="5"/>
      <c r="O34" s="5"/>
    </row>
    <row r="35" spans="1:15" x14ac:dyDescent="0.35">
      <c r="A35" s="3" t="s">
        <v>120</v>
      </c>
      <c r="B35" s="3" t="s">
        <v>121</v>
      </c>
      <c r="C35" s="3" t="s">
        <v>57</v>
      </c>
      <c r="D35" s="3">
        <v>4</v>
      </c>
      <c r="E35" s="3">
        <v>10</v>
      </c>
      <c r="F35" s="3">
        <v>8</v>
      </c>
      <c r="G35" s="3">
        <f t="shared" ref="G35:G66" si="3">F35/E35*100</f>
        <v>80</v>
      </c>
      <c r="H35" s="3">
        <v>5</v>
      </c>
      <c r="I35" s="3">
        <v>3</v>
      </c>
      <c r="J35" s="3">
        <f t="shared" ref="J35:J66" si="4">I35/H35*100</f>
        <v>60</v>
      </c>
      <c r="K35" s="3" t="s">
        <v>64</v>
      </c>
      <c r="L35" s="3" t="s">
        <v>51</v>
      </c>
      <c r="M35" s="3" t="str">
        <f t="shared" ref="M35:M52" si="5">IF(OR(G35&lt;50,J35&lt;50,K35="No"),"AT RISK","OK")</f>
        <v>AT RISK</v>
      </c>
      <c r="N35" s="3"/>
      <c r="O35" s="3"/>
    </row>
    <row r="36" spans="1:15" x14ac:dyDescent="0.35">
      <c r="A36" s="5" t="s">
        <v>122</v>
      </c>
      <c r="B36" s="5" t="s">
        <v>123</v>
      </c>
      <c r="C36" s="5" t="s">
        <v>60</v>
      </c>
      <c r="D36" s="5">
        <v>8</v>
      </c>
      <c r="E36" s="5">
        <v>10</v>
      </c>
      <c r="F36" s="5">
        <v>9</v>
      </c>
      <c r="G36" s="5">
        <f t="shared" si="3"/>
        <v>90</v>
      </c>
      <c r="H36" s="5">
        <v>5</v>
      </c>
      <c r="I36" s="5">
        <v>3</v>
      </c>
      <c r="J36" s="5">
        <f t="shared" si="4"/>
        <v>60</v>
      </c>
      <c r="K36" s="5" t="s">
        <v>50</v>
      </c>
      <c r="L36" s="5" t="s">
        <v>51</v>
      </c>
      <c r="M36" s="5" t="str">
        <f t="shared" si="5"/>
        <v>OK</v>
      </c>
      <c r="N36" s="5"/>
      <c r="O36" s="5"/>
    </row>
    <row r="37" spans="1:15" x14ac:dyDescent="0.35">
      <c r="A37" s="3" t="s">
        <v>124</v>
      </c>
      <c r="B37" s="3" t="s">
        <v>125</v>
      </c>
      <c r="C37" s="3" t="s">
        <v>63</v>
      </c>
      <c r="D37" s="3">
        <v>4</v>
      </c>
      <c r="E37" s="3">
        <v>10</v>
      </c>
      <c r="F37" s="3">
        <v>8</v>
      </c>
      <c r="G37" s="3">
        <f t="shared" si="3"/>
        <v>80</v>
      </c>
      <c r="H37" s="3">
        <v>5</v>
      </c>
      <c r="I37" s="3">
        <v>5</v>
      </c>
      <c r="J37" s="3">
        <f t="shared" si="4"/>
        <v>100</v>
      </c>
      <c r="K37" s="3" t="s">
        <v>50</v>
      </c>
      <c r="L37" s="3" t="s">
        <v>51</v>
      </c>
      <c r="M37" s="3" t="str">
        <f t="shared" si="5"/>
        <v>OK</v>
      </c>
      <c r="N37" s="3"/>
      <c r="O37" s="3"/>
    </row>
    <row r="38" spans="1:15" x14ac:dyDescent="0.35">
      <c r="A38" s="5" t="s">
        <v>126</v>
      </c>
      <c r="B38" s="5" t="s">
        <v>127</v>
      </c>
      <c r="C38" s="5" t="s">
        <v>49</v>
      </c>
      <c r="D38" s="5">
        <v>8</v>
      </c>
      <c r="E38" s="5">
        <v>10</v>
      </c>
      <c r="F38" s="5">
        <v>7</v>
      </c>
      <c r="G38" s="5">
        <f t="shared" si="3"/>
        <v>70</v>
      </c>
      <c r="H38" s="5">
        <v>5</v>
      </c>
      <c r="I38" s="5">
        <v>5</v>
      </c>
      <c r="J38" s="5">
        <f t="shared" si="4"/>
        <v>100</v>
      </c>
      <c r="K38" s="5" t="s">
        <v>64</v>
      </c>
      <c r="L38" s="5" t="s">
        <v>51</v>
      </c>
      <c r="M38" s="5" t="str">
        <f t="shared" si="5"/>
        <v>AT RISK</v>
      </c>
      <c r="N38" s="5"/>
      <c r="O38" s="5"/>
    </row>
    <row r="39" spans="1:15" x14ac:dyDescent="0.35">
      <c r="A39" s="3" t="s">
        <v>128</v>
      </c>
      <c r="B39" s="3" t="s">
        <v>129</v>
      </c>
      <c r="C39" s="3" t="s">
        <v>54</v>
      </c>
      <c r="D39" s="3">
        <v>4</v>
      </c>
      <c r="E39" s="3">
        <v>10</v>
      </c>
      <c r="F39" s="3">
        <v>6</v>
      </c>
      <c r="G39" s="3">
        <f t="shared" si="3"/>
        <v>60</v>
      </c>
      <c r="H39" s="3">
        <v>5</v>
      </c>
      <c r="I39" s="3">
        <v>4</v>
      </c>
      <c r="J39" s="3">
        <f t="shared" si="4"/>
        <v>80</v>
      </c>
      <c r="K39" s="3" t="s">
        <v>50</v>
      </c>
      <c r="L39" s="3" t="s">
        <v>51</v>
      </c>
      <c r="M39" s="3" t="str">
        <f t="shared" si="5"/>
        <v>OK</v>
      </c>
      <c r="N39" s="3"/>
      <c r="O39" s="3"/>
    </row>
    <row r="40" spans="1:15" x14ac:dyDescent="0.35">
      <c r="A40" s="5" t="s">
        <v>130</v>
      </c>
      <c r="B40" s="5" t="s">
        <v>131</v>
      </c>
      <c r="C40" s="5" t="s">
        <v>57</v>
      </c>
      <c r="D40" s="5">
        <v>8</v>
      </c>
      <c r="E40" s="5">
        <v>10</v>
      </c>
      <c r="F40" s="5">
        <v>8</v>
      </c>
      <c r="G40" s="5">
        <f t="shared" si="3"/>
        <v>80</v>
      </c>
      <c r="H40" s="5">
        <v>5</v>
      </c>
      <c r="I40" s="5">
        <v>5</v>
      </c>
      <c r="J40" s="5">
        <f t="shared" si="4"/>
        <v>100</v>
      </c>
      <c r="K40" s="5" t="s">
        <v>50</v>
      </c>
      <c r="L40" s="5" t="s">
        <v>51</v>
      </c>
      <c r="M40" s="5" t="str">
        <f t="shared" si="5"/>
        <v>OK</v>
      </c>
      <c r="N40" s="5"/>
      <c r="O40" s="5"/>
    </row>
    <row r="41" spans="1:15" x14ac:dyDescent="0.35">
      <c r="A41" s="3" t="s">
        <v>132</v>
      </c>
      <c r="B41" s="3" t="s">
        <v>133</v>
      </c>
      <c r="C41" s="3" t="s">
        <v>60</v>
      </c>
      <c r="D41" s="3">
        <v>4</v>
      </c>
      <c r="E41" s="3">
        <v>10</v>
      </c>
      <c r="F41" s="3">
        <v>7</v>
      </c>
      <c r="G41" s="3">
        <f t="shared" si="3"/>
        <v>70</v>
      </c>
      <c r="H41" s="3">
        <v>5</v>
      </c>
      <c r="I41" s="3">
        <v>3</v>
      </c>
      <c r="J41" s="3">
        <f t="shared" si="4"/>
        <v>60</v>
      </c>
      <c r="K41" s="3" t="s">
        <v>50</v>
      </c>
      <c r="L41" s="3" t="s">
        <v>51</v>
      </c>
      <c r="M41" s="3" t="str">
        <f t="shared" si="5"/>
        <v>OK</v>
      </c>
      <c r="N41" s="3"/>
      <c r="O41" s="3"/>
    </row>
    <row r="42" spans="1:15" x14ac:dyDescent="0.35">
      <c r="A42" s="5" t="s">
        <v>134</v>
      </c>
      <c r="B42" s="5" t="s">
        <v>135</v>
      </c>
      <c r="C42" s="5" t="s">
        <v>63</v>
      </c>
      <c r="D42" s="5">
        <v>8</v>
      </c>
      <c r="E42" s="5">
        <v>10</v>
      </c>
      <c r="F42" s="5">
        <v>10</v>
      </c>
      <c r="G42" s="5">
        <f t="shared" si="3"/>
        <v>100</v>
      </c>
      <c r="H42" s="5">
        <v>5</v>
      </c>
      <c r="I42" s="5">
        <v>3</v>
      </c>
      <c r="J42" s="5">
        <f t="shared" si="4"/>
        <v>60</v>
      </c>
      <c r="K42" s="5" t="s">
        <v>64</v>
      </c>
      <c r="L42" s="5" t="s">
        <v>51</v>
      </c>
      <c r="M42" s="5" t="str">
        <f t="shared" si="5"/>
        <v>AT RISK</v>
      </c>
      <c r="N42" s="5"/>
      <c r="O42" s="5"/>
    </row>
    <row r="43" spans="1:15" x14ac:dyDescent="0.35">
      <c r="A43" s="3" t="s">
        <v>136</v>
      </c>
      <c r="B43" s="3" t="s">
        <v>137</v>
      </c>
      <c r="C43" s="3" t="s">
        <v>49</v>
      </c>
      <c r="D43" s="3">
        <v>4</v>
      </c>
      <c r="E43" s="3">
        <v>10</v>
      </c>
      <c r="F43" s="3">
        <v>10</v>
      </c>
      <c r="G43" s="3">
        <f t="shared" si="3"/>
        <v>100</v>
      </c>
      <c r="H43" s="3">
        <v>5</v>
      </c>
      <c r="I43" s="3">
        <v>3</v>
      </c>
      <c r="J43" s="3">
        <f t="shared" si="4"/>
        <v>60</v>
      </c>
      <c r="K43" s="3" t="s">
        <v>50</v>
      </c>
      <c r="L43" s="3" t="s">
        <v>51</v>
      </c>
      <c r="M43" s="3" t="str">
        <f t="shared" si="5"/>
        <v>OK</v>
      </c>
      <c r="N43" s="3"/>
      <c r="O43" s="3"/>
    </row>
    <row r="44" spans="1:15" x14ac:dyDescent="0.35">
      <c r="A44" s="5" t="s">
        <v>138</v>
      </c>
      <c r="B44" s="5" t="s">
        <v>139</v>
      </c>
      <c r="C44" s="5" t="s">
        <v>54</v>
      </c>
      <c r="D44" s="5">
        <v>8</v>
      </c>
      <c r="E44" s="5">
        <v>10</v>
      </c>
      <c r="F44" s="5">
        <v>8</v>
      </c>
      <c r="G44" s="5">
        <f t="shared" si="3"/>
        <v>80</v>
      </c>
      <c r="H44" s="5">
        <v>5</v>
      </c>
      <c r="I44" s="5">
        <v>3</v>
      </c>
      <c r="J44" s="5">
        <f t="shared" si="4"/>
        <v>60</v>
      </c>
      <c r="K44" s="5" t="s">
        <v>50</v>
      </c>
      <c r="L44" s="5" t="s">
        <v>51</v>
      </c>
      <c r="M44" s="5" t="str">
        <f t="shared" si="5"/>
        <v>OK</v>
      </c>
      <c r="N44" s="5"/>
      <c r="O44" s="5"/>
    </row>
    <row r="45" spans="1:15" x14ac:dyDescent="0.35">
      <c r="A45" s="3" t="s">
        <v>140</v>
      </c>
      <c r="B45" s="3" t="s">
        <v>141</v>
      </c>
      <c r="C45" s="3" t="s">
        <v>57</v>
      </c>
      <c r="D45" s="3">
        <v>4</v>
      </c>
      <c r="E45" s="3">
        <v>10</v>
      </c>
      <c r="F45" s="3">
        <v>9</v>
      </c>
      <c r="G45" s="3">
        <f t="shared" si="3"/>
        <v>90</v>
      </c>
      <c r="H45" s="3">
        <v>5</v>
      </c>
      <c r="I45" s="3">
        <v>5</v>
      </c>
      <c r="J45" s="3">
        <f t="shared" si="4"/>
        <v>100</v>
      </c>
      <c r="K45" s="3" t="s">
        <v>50</v>
      </c>
      <c r="L45" s="3" t="s">
        <v>51</v>
      </c>
      <c r="M45" s="3" t="str">
        <f t="shared" si="5"/>
        <v>OK</v>
      </c>
      <c r="N45" s="3"/>
      <c r="O45" s="3"/>
    </row>
    <row r="46" spans="1:15" x14ac:dyDescent="0.35">
      <c r="A46" s="5" t="s">
        <v>142</v>
      </c>
      <c r="B46" s="5" t="s">
        <v>143</v>
      </c>
      <c r="C46" s="5" t="s">
        <v>60</v>
      </c>
      <c r="D46" s="5">
        <v>8</v>
      </c>
      <c r="E46" s="5">
        <v>10</v>
      </c>
      <c r="F46" s="5">
        <v>5</v>
      </c>
      <c r="G46" s="5">
        <f t="shared" si="3"/>
        <v>50</v>
      </c>
      <c r="H46" s="5">
        <v>5</v>
      </c>
      <c r="I46" s="5">
        <v>3</v>
      </c>
      <c r="J46" s="5">
        <f t="shared" si="4"/>
        <v>60</v>
      </c>
      <c r="K46" s="5" t="s">
        <v>64</v>
      </c>
      <c r="L46" s="5" t="s">
        <v>51</v>
      </c>
      <c r="M46" s="5" t="str">
        <f t="shared" si="5"/>
        <v>AT RISK</v>
      </c>
      <c r="N46" s="5"/>
      <c r="O46" s="5"/>
    </row>
    <row r="47" spans="1:15" x14ac:dyDescent="0.35">
      <c r="A47" s="3" t="s">
        <v>144</v>
      </c>
      <c r="B47" s="3" t="s">
        <v>145</v>
      </c>
      <c r="C47" s="3" t="s">
        <v>63</v>
      </c>
      <c r="D47" s="3">
        <v>4</v>
      </c>
      <c r="E47" s="3">
        <v>10</v>
      </c>
      <c r="F47" s="3">
        <v>6</v>
      </c>
      <c r="G47" s="3">
        <f t="shared" si="3"/>
        <v>60</v>
      </c>
      <c r="H47" s="3">
        <v>5</v>
      </c>
      <c r="I47" s="3">
        <v>4</v>
      </c>
      <c r="J47" s="3">
        <f t="shared" si="4"/>
        <v>80</v>
      </c>
      <c r="K47" s="3" t="s">
        <v>50</v>
      </c>
      <c r="L47" s="3" t="s">
        <v>51</v>
      </c>
      <c r="M47" s="3" t="str">
        <f t="shared" si="5"/>
        <v>OK</v>
      </c>
      <c r="N47" s="3"/>
      <c r="O47" s="3"/>
    </row>
    <row r="48" spans="1:15" x14ac:dyDescent="0.35">
      <c r="A48" s="5" t="s">
        <v>146</v>
      </c>
      <c r="B48" s="5" t="s">
        <v>147</v>
      </c>
      <c r="C48" s="5" t="s">
        <v>49</v>
      </c>
      <c r="D48" s="5">
        <v>8</v>
      </c>
      <c r="E48" s="5">
        <v>10</v>
      </c>
      <c r="F48" s="5">
        <v>9</v>
      </c>
      <c r="G48" s="5">
        <f t="shared" si="3"/>
        <v>90</v>
      </c>
      <c r="H48" s="5">
        <v>5</v>
      </c>
      <c r="I48" s="5">
        <v>4</v>
      </c>
      <c r="J48" s="5">
        <f t="shared" si="4"/>
        <v>80</v>
      </c>
      <c r="K48" s="5" t="s">
        <v>50</v>
      </c>
      <c r="L48" s="5" t="s">
        <v>51</v>
      </c>
      <c r="M48" s="5" t="str">
        <f t="shared" si="5"/>
        <v>OK</v>
      </c>
      <c r="N48" s="5"/>
      <c r="O48" s="5"/>
    </row>
    <row r="49" spans="1:15" x14ac:dyDescent="0.35">
      <c r="A49" s="3" t="s">
        <v>148</v>
      </c>
      <c r="B49" s="3" t="s">
        <v>149</v>
      </c>
      <c r="C49" s="3" t="s">
        <v>54</v>
      </c>
      <c r="D49" s="3">
        <v>4</v>
      </c>
      <c r="E49" s="3">
        <v>10</v>
      </c>
      <c r="F49" s="3">
        <v>10</v>
      </c>
      <c r="G49" s="3">
        <f t="shared" si="3"/>
        <v>100</v>
      </c>
      <c r="H49" s="3">
        <v>5</v>
      </c>
      <c r="I49" s="3">
        <v>5</v>
      </c>
      <c r="J49" s="3">
        <f t="shared" si="4"/>
        <v>100</v>
      </c>
      <c r="K49" s="3" t="s">
        <v>50</v>
      </c>
      <c r="L49" s="3" t="s">
        <v>51</v>
      </c>
      <c r="M49" s="3" t="str">
        <f t="shared" si="5"/>
        <v>OK</v>
      </c>
      <c r="N49" s="3"/>
      <c r="O49" s="3"/>
    </row>
    <row r="50" spans="1:15" x14ac:dyDescent="0.35">
      <c r="A50" s="5" t="s">
        <v>150</v>
      </c>
      <c r="B50" s="5" t="s">
        <v>151</v>
      </c>
      <c r="C50" s="5" t="s">
        <v>57</v>
      </c>
      <c r="D50" s="5">
        <v>8</v>
      </c>
      <c r="E50" s="5">
        <v>10</v>
      </c>
      <c r="F50" s="5">
        <v>7</v>
      </c>
      <c r="G50" s="5">
        <f t="shared" si="3"/>
        <v>70</v>
      </c>
      <c r="H50" s="5">
        <v>5</v>
      </c>
      <c r="I50" s="5">
        <v>4</v>
      </c>
      <c r="J50" s="5">
        <f t="shared" si="4"/>
        <v>80</v>
      </c>
      <c r="K50" s="5" t="s">
        <v>50</v>
      </c>
      <c r="L50" s="5" t="s">
        <v>51</v>
      </c>
      <c r="M50" s="5" t="str">
        <f t="shared" si="5"/>
        <v>OK</v>
      </c>
      <c r="N50" s="5"/>
      <c r="O50" s="5"/>
    </row>
    <row r="51" spans="1:15" x14ac:dyDescent="0.35">
      <c r="A51" s="3" t="s">
        <v>152</v>
      </c>
      <c r="B51" s="3" t="s">
        <v>153</v>
      </c>
      <c r="C51" s="3" t="s">
        <v>60</v>
      </c>
      <c r="D51" s="3">
        <v>4</v>
      </c>
      <c r="E51" s="3">
        <v>10</v>
      </c>
      <c r="F51" s="3">
        <v>5</v>
      </c>
      <c r="G51" s="3">
        <f t="shared" si="3"/>
        <v>50</v>
      </c>
      <c r="H51" s="3">
        <v>5</v>
      </c>
      <c r="I51" s="3">
        <v>3</v>
      </c>
      <c r="J51" s="3">
        <f t="shared" si="4"/>
        <v>60</v>
      </c>
      <c r="K51" s="3" t="s">
        <v>64</v>
      </c>
      <c r="L51" s="3" t="s">
        <v>51</v>
      </c>
      <c r="M51" s="3" t="str">
        <f t="shared" si="5"/>
        <v>AT RISK</v>
      </c>
      <c r="N51" s="3"/>
      <c r="O51" s="3"/>
    </row>
    <row r="52" spans="1:15" x14ac:dyDescent="0.35">
      <c r="A52" s="5" t="s">
        <v>154</v>
      </c>
      <c r="B52" s="5" t="s">
        <v>155</v>
      </c>
      <c r="C52" s="5" t="s">
        <v>63</v>
      </c>
      <c r="D52" s="5">
        <v>8</v>
      </c>
      <c r="E52" s="5">
        <v>10</v>
      </c>
      <c r="F52" s="5">
        <v>6</v>
      </c>
      <c r="G52" s="5">
        <f t="shared" si="3"/>
        <v>60</v>
      </c>
      <c r="H52" s="5">
        <v>5</v>
      </c>
      <c r="I52" s="5">
        <v>5</v>
      </c>
      <c r="J52" s="5">
        <f t="shared" si="4"/>
        <v>100</v>
      </c>
      <c r="K52" s="5" t="s">
        <v>50</v>
      </c>
      <c r="L52" s="5" t="s">
        <v>51</v>
      </c>
      <c r="M52" s="5" t="str">
        <f t="shared" si="5"/>
        <v>OK</v>
      </c>
      <c r="N52" s="5"/>
      <c r="O52" s="5"/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7"/>
  <sheetViews>
    <sheetView tabSelected="1" workbookViewId="0">
      <pane ySplit="3" topLeftCell="A45" activePane="bottomLeft" state="frozen"/>
      <selection pane="bottomLeft"/>
    </sheetView>
  </sheetViews>
  <sheetFormatPr defaultRowHeight="14.5" x14ac:dyDescent="0.35"/>
  <cols>
    <col min="1" max="1" width="12" customWidth="1"/>
    <col min="2" max="2" width="14" customWidth="1"/>
    <col min="3" max="3" width="10" customWidth="1"/>
    <col min="4" max="4" width="8" customWidth="1"/>
    <col min="5" max="6" width="14" customWidth="1"/>
    <col min="7" max="7" width="10" customWidth="1"/>
    <col min="8" max="8" width="18" customWidth="1"/>
    <col min="9" max="9" width="20" customWidth="1"/>
  </cols>
  <sheetData>
    <row r="1" spans="1:9" ht="30" customHeight="1" x14ac:dyDescent="0.35">
      <c r="A1" s="13" t="s">
        <v>156</v>
      </c>
      <c r="B1" s="11"/>
      <c r="C1" s="11"/>
      <c r="D1" s="11"/>
      <c r="E1" s="11"/>
      <c r="F1" s="11"/>
      <c r="G1" s="11"/>
      <c r="H1" s="11"/>
      <c r="I1" s="11"/>
    </row>
    <row r="2" spans="1:9" ht="20" customHeight="1" x14ac:dyDescent="0.35">
      <c r="A2" s="15" t="s">
        <v>157</v>
      </c>
      <c r="B2" s="11"/>
      <c r="C2" s="11"/>
      <c r="D2" s="11"/>
      <c r="E2" s="11"/>
      <c r="F2" s="11"/>
      <c r="G2" s="11"/>
      <c r="H2" s="11"/>
      <c r="I2" s="11"/>
    </row>
    <row r="3" spans="1:9" ht="35" customHeight="1" x14ac:dyDescent="0.35">
      <c r="A3" s="6" t="s">
        <v>1</v>
      </c>
      <c r="B3" s="6" t="s">
        <v>33</v>
      </c>
      <c r="C3" s="6" t="s">
        <v>34</v>
      </c>
      <c r="D3" s="6" t="s">
        <v>158</v>
      </c>
      <c r="E3" s="6" t="s">
        <v>159</v>
      </c>
      <c r="F3" s="6" t="s">
        <v>160</v>
      </c>
      <c r="G3" s="6" t="s">
        <v>42</v>
      </c>
      <c r="H3" s="6" t="s">
        <v>161</v>
      </c>
      <c r="I3" s="6" t="s">
        <v>162</v>
      </c>
    </row>
    <row r="4" spans="1:9" x14ac:dyDescent="0.35">
      <c r="A4" s="7" t="str">
        <f>'At-Risk Identification'!A3</f>
        <v>AU00001</v>
      </c>
      <c r="B4" s="7" t="str">
        <f>'At-Risk Identification'!B3</f>
        <v>F_1</v>
      </c>
      <c r="C4" s="7" t="str">
        <f>'At-Risk Identification'!C3</f>
        <v>MIS101</v>
      </c>
      <c r="D4" s="7">
        <f>'At-Risk Identification'!D3</f>
        <v>4</v>
      </c>
      <c r="E4" s="7">
        <f>'At-Risk Identification'!G3</f>
        <v>80</v>
      </c>
      <c r="F4" s="7">
        <f>'At-Risk Identification'!J3</f>
        <v>80</v>
      </c>
      <c r="G4" s="7" t="str">
        <f>'At-Risk Identification'!K3</f>
        <v>Yes</v>
      </c>
      <c r="H4" s="7">
        <f>'At-Risk Identification'!N3</f>
        <v>0</v>
      </c>
      <c r="I4" s="7" t="str">
        <f>IF('At-Risk Identification'!M3="AT RISK","YES - Needs Follow Up","Resolved")</f>
        <v>Resolved</v>
      </c>
    </row>
    <row r="5" spans="1:9" x14ac:dyDescent="0.35">
      <c r="A5" s="3" t="str">
        <f>'At-Risk Identification'!A4</f>
        <v>AU00002</v>
      </c>
      <c r="B5" s="3" t="str">
        <f>'At-Risk Identification'!B4</f>
        <v>F_2</v>
      </c>
      <c r="C5" s="3" t="str">
        <f>'At-Risk Identification'!C4</f>
        <v>ICT202</v>
      </c>
      <c r="D5" s="3">
        <f>'At-Risk Identification'!D4</f>
        <v>8</v>
      </c>
      <c r="E5" s="3">
        <f>'At-Risk Identification'!G4</f>
        <v>70</v>
      </c>
      <c r="F5" s="3">
        <f>'At-Risk Identification'!J4</f>
        <v>60</v>
      </c>
      <c r="G5" s="3" t="str">
        <f>'At-Risk Identification'!K4</f>
        <v>Yes</v>
      </c>
      <c r="H5" s="3">
        <f>'At-Risk Identification'!N4</f>
        <v>0</v>
      </c>
      <c r="I5" s="3" t="str">
        <f>IF('At-Risk Identification'!M4="AT RISK","YES - Needs Follow Up","Resolved")</f>
        <v>Resolved</v>
      </c>
    </row>
    <row r="6" spans="1:9" x14ac:dyDescent="0.35">
      <c r="A6" s="7" t="str">
        <f>'At-Risk Identification'!A5</f>
        <v>AU00003</v>
      </c>
      <c r="B6" s="7" t="str">
        <f>'At-Risk Identification'!B5</f>
        <v>M_3</v>
      </c>
      <c r="C6" s="7" t="str">
        <f>'At-Risk Identification'!C5</f>
        <v>BUS301</v>
      </c>
      <c r="D6" s="7">
        <f>'At-Risk Identification'!D5</f>
        <v>4</v>
      </c>
      <c r="E6" s="7">
        <f>'At-Risk Identification'!G5</f>
        <v>100</v>
      </c>
      <c r="F6" s="7">
        <f>'At-Risk Identification'!J5</f>
        <v>60</v>
      </c>
      <c r="G6" s="7" t="str">
        <f>'At-Risk Identification'!K5</f>
        <v>Yes</v>
      </c>
      <c r="H6" s="7">
        <f>'At-Risk Identification'!N5</f>
        <v>0</v>
      </c>
      <c r="I6" s="7" t="str">
        <f>IF('At-Risk Identification'!M5="AT RISK","YES - Needs Follow Up","Resolved")</f>
        <v>Resolved</v>
      </c>
    </row>
    <row r="7" spans="1:9" x14ac:dyDescent="0.35">
      <c r="A7" s="3" t="str">
        <f>'At-Risk Identification'!A6</f>
        <v>AU00004</v>
      </c>
      <c r="B7" s="3" t="str">
        <f>'At-Risk Identification'!B6</f>
        <v>M_4</v>
      </c>
      <c r="C7" s="3" t="str">
        <f>'At-Risk Identification'!C6</f>
        <v>DAT401</v>
      </c>
      <c r="D7" s="3">
        <f>'At-Risk Identification'!D6</f>
        <v>8</v>
      </c>
      <c r="E7" s="3">
        <f>'At-Risk Identification'!G6</f>
        <v>80</v>
      </c>
      <c r="F7" s="3">
        <f>'At-Risk Identification'!J6</f>
        <v>60</v>
      </c>
      <c r="G7" s="3" t="str">
        <f>'At-Risk Identification'!K6</f>
        <v>Yes</v>
      </c>
      <c r="H7" s="3">
        <f>'At-Risk Identification'!N6</f>
        <v>0</v>
      </c>
      <c r="I7" s="3" t="str">
        <f>IF('At-Risk Identification'!M6="AT RISK","YES - Needs Follow Up","Resolved")</f>
        <v>Resolved</v>
      </c>
    </row>
    <row r="8" spans="1:9" x14ac:dyDescent="0.35">
      <c r="A8" s="7" t="str">
        <f>'At-Risk Identification'!A7</f>
        <v>AU00005</v>
      </c>
      <c r="B8" s="7" t="str">
        <f>'At-Risk Identification'!B7</f>
        <v>F_5</v>
      </c>
      <c r="C8" s="7" t="str">
        <f>'At-Risk Identification'!C7</f>
        <v>NET102</v>
      </c>
      <c r="D8" s="7">
        <f>'At-Risk Identification'!D7</f>
        <v>4</v>
      </c>
      <c r="E8" s="7">
        <f>'At-Risk Identification'!G7</f>
        <v>90</v>
      </c>
      <c r="F8" s="7">
        <f>'At-Risk Identification'!J7</f>
        <v>80</v>
      </c>
      <c r="G8" s="7" t="str">
        <f>'At-Risk Identification'!K7</f>
        <v>No</v>
      </c>
      <c r="H8" s="7">
        <f>'At-Risk Identification'!N7</f>
        <v>0</v>
      </c>
      <c r="I8" s="7" t="str">
        <f>IF('At-Risk Identification'!M7="AT RISK","YES - Needs Follow Up","Resolved")</f>
        <v>YES - Needs Follow Up</v>
      </c>
    </row>
    <row r="9" spans="1:9" x14ac:dyDescent="0.35">
      <c r="A9" s="3" t="str">
        <f>'At-Risk Identification'!A8</f>
        <v>AU00006</v>
      </c>
      <c r="B9" s="3" t="str">
        <f>'At-Risk Identification'!B8</f>
        <v>F_6</v>
      </c>
      <c r="C9" s="3" t="str">
        <f>'At-Risk Identification'!C8</f>
        <v>MIS101</v>
      </c>
      <c r="D9" s="3">
        <f>'At-Risk Identification'!D8</f>
        <v>8</v>
      </c>
      <c r="E9" s="3">
        <f>'At-Risk Identification'!G8</f>
        <v>70</v>
      </c>
      <c r="F9" s="3">
        <f>'At-Risk Identification'!J8</f>
        <v>80</v>
      </c>
      <c r="G9" s="3" t="str">
        <f>'At-Risk Identification'!K8</f>
        <v>Yes</v>
      </c>
      <c r="H9" s="3">
        <f>'At-Risk Identification'!N8</f>
        <v>0</v>
      </c>
      <c r="I9" s="3" t="str">
        <f>IF('At-Risk Identification'!M8="AT RISK","YES - Needs Follow Up","Resolved")</f>
        <v>Resolved</v>
      </c>
    </row>
    <row r="10" spans="1:9" x14ac:dyDescent="0.35">
      <c r="A10" s="7" t="str">
        <f>'At-Risk Identification'!A9</f>
        <v>AU00007</v>
      </c>
      <c r="B10" s="7" t="str">
        <f>'At-Risk Identification'!B9</f>
        <v>M_7</v>
      </c>
      <c r="C10" s="7" t="str">
        <f>'At-Risk Identification'!C9</f>
        <v>ICT202</v>
      </c>
      <c r="D10" s="7">
        <f>'At-Risk Identification'!D9</f>
        <v>4</v>
      </c>
      <c r="E10" s="7">
        <f>'At-Risk Identification'!G9</f>
        <v>80</v>
      </c>
      <c r="F10" s="7">
        <f>'At-Risk Identification'!J9</f>
        <v>80</v>
      </c>
      <c r="G10" s="7" t="str">
        <f>'At-Risk Identification'!K9</f>
        <v>Yes</v>
      </c>
      <c r="H10" s="7">
        <f>'At-Risk Identification'!N9</f>
        <v>0</v>
      </c>
      <c r="I10" s="7" t="str">
        <f>IF('At-Risk Identification'!M9="AT RISK","YES - Needs Follow Up","Resolved")</f>
        <v>Resolved</v>
      </c>
    </row>
    <row r="11" spans="1:9" x14ac:dyDescent="0.35">
      <c r="A11" s="3" t="str">
        <f>'At-Risk Identification'!A10</f>
        <v>AU00008</v>
      </c>
      <c r="B11" s="3" t="str">
        <f>'At-Risk Identification'!B10</f>
        <v>M_8</v>
      </c>
      <c r="C11" s="3" t="str">
        <f>'At-Risk Identification'!C10</f>
        <v>BUS301</v>
      </c>
      <c r="D11" s="3">
        <f>'At-Risk Identification'!D10</f>
        <v>8</v>
      </c>
      <c r="E11" s="3">
        <f>'At-Risk Identification'!G10</f>
        <v>80</v>
      </c>
      <c r="F11" s="3">
        <f>'At-Risk Identification'!J10</f>
        <v>80</v>
      </c>
      <c r="G11" s="3" t="str">
        <f>'At-Risk Identification'!K10</f>
        <v>Yes</v>
      </c>
      <c r="H11" s="3">
        <f>'At-Risk Identification'!N10</f>
        <v>0</v>
      </c>
      <c r="I11" s="3" t="str">
        <f>IF('At-Risk Identification'!M10="AT RISK","YES - Needs Follow Up","Resolved")</f>
        <v>Resolved</v>
      </c>
    </row>
    <row r="12" spans="1:9" x14ac:dyDescent="0.35">
      <c r="A12" s="7" t="str">
        <f>'At-Risk Identification'!A11</f>
        <v>AU00009</v>
      </c>
      <c r="B12" s="7" t="str">
        <f>'At-Risk Identification'!B11</f>
        <v>F_9</v>
      </c>
      <c r="C12" s="7" t="str">
        <f>'At-Risk Identification'!C11</f>
        <v>DAT401</v>
      </c>
      <c r="D12" s="7">
        <f>'At-Risk Identification'!D11</f>
        <v>4</v>
      </c>
      <c r="E12" s="7">
        <f>'At-Risk Identification'!G11</f>
        <v>80</v>
      </c>
      <c r="F12" s="7">
        <f>'At-Risk Identification'!J11</f>
        <v>40</v>
      </c>
      <c r="G12" s="7" t="str">
        <f>'At-Risk Identification'!K11</f>
        <v>Yes</v>
      </c>
      <c r="H12" s="7">
        <f>'At-Risk Identification'!N11</f>
        <v>0</v>
      </c>
      <c r="I12" s="7" t="str">
        <f>IF('At-Risk Identification'!M11="AT RISK","YES - Needs Follow Up","Resolved")</f>
        <v>YES - Needs Follow Up</v>
      </c>
    </row>
    <row r="13" spans="1:9" x14ac:dyDescent="0.35">
      <c r="A13" s="3" t="str">
        <f>'At-Risk Identification'!A12</f>
        <v>AU00010</v>
      </c>
      <c r="B13" s="3" t="str">
        <f>'At-Risk Identification'!B12</f>
        <v>F_10</v>
      </c>
      <c r="C13" s="3" t="str">
        <f>'At-Risk Identification'!C12</f>
        <v>NET102</v>
      </c>
      <c r="D13" s="3">
        <f>'At-Risk Identification'!D12</f>
        <v>8</v>
      </c>
      <c r="E13" s="3">
        <f>'At-Risk Identification'!G12</f>
        <v>60</v>
      </c>
      <c r="F13" s="3">
        <f>'At-Risk Identification'!J12</f>
        <v>80</v>
      </c>
      <c r="G13" s="3" t="str">
        <f>'At-Risk Identification'!K12</f>
        <v>Yes</v>
      </c>
      <c r="H13" s="3">
        <f>'At-Risk Identification'!N12</f>
        <v>0</v>
      </c>
      <c r="I13" s="3" t="str">
        <f>IF('At-Risk Identification'!M12="AT RISK","YES - Needs Follow Up","Resolved")</f>
        <v>Resolved</v>
      </c>
    </row>
    <row r="14" spans="1:9" x14ac:dyDescent="0.35">
      <c r="A14" s="7" t="str">
        <f>'At-Risk Identification'!A13</f>
        <v>AU00011</v>
      </c>
      <c r="B14" s="7" t="str">
        <f>'At-Risk Identification'!B13</f>
        <v>F_11</v>
      </c>
      <c r="C14" s="7" t="str">
        <f>'At-Risk Identification'!C13</f>
        <v>MIS101</v>
      </c>
      <c r="D14" s="7">
        <f>'At-Risk Identification'!D13</f>
        <v>4</v>
      </c>
      <c r="E14" s="7">
        <f>'At-Risk Identification'!G13</f>
        <v>60</v>
      </c>
      <c r="F14" s="7">
        <f>'At-Risk Identification'!J13</f>
        <v>80</v>
      </c>
      <c r="G14" s="7" t="str">
        <f>'At-Risk Identification'!K13</f>
        <v>No</v>
      </c>
      <c r="H14" s="7">
        <f>'At-Risk Identification'!N13</f>
        <v>0</v>
      </c>
      <c r="I14" s="7" t="str">
        <f>IF('At-Risk Identification'!M13="AT RISK","YES - Needs Follow Up","Resolved")</f>
        <v>YES - Needs Follow Up</v>
      </c>
    </row>
    <row r="15" spans="1:9" x14ac:dyDescent="0.35">
      <c r="A15" s="3" t="str">
        <f>'At-Risk Identification'!A14</f>
        <v>AU00012</v>
      </c>
      <c r="B15" s="3" t="str">
        <f>'At-Risk Identification'!B14</f>
        <v>M_12</v>
      </c>
      <c r="C15" s="3" t="str">
        <f>'At-Risk Identification'!C14</f>
        <v>ICT202</v>
      </c>
      <c r="D15" s="3">
        <f>'At-Risk Identification'!D14</f>
        <v>8</v>
      </c>
      <c r="E15" s="3">
        <f>'At-Risk Identification'!G14</f>
        <v>70</v>
      </c>
      <c r="F15" s="3">
        <f>'At-Risk Identification'!J14</f>
        <v>60</v>
      </c>
      <c r="G15" s="3" t="str">
        <f>'At-Risk Identification'!K14</f>
        <v>Yes</v>
      </c>
      <c r="H15" s="3">
        <f>'At-Risk Identification'!N14</f>
        <v>0</v>
      </c>
      <c r="I15" s="3" t="str">
        <f>IF('At-Risk Identification'!M14="AT RISK","YES - Needs Follow Up","Resolved")</f>
        <v>Resolved</v>
      </c>
    </row>
    <row r="16" spans="1:9" x14ac:dyDescent="0.35">
      <c r="A16" s="7" t="str">
        <f>'At-Risk Identification'!A15</f>
        <v>AU00013</v>
      </c>
      <c r="B16" s="7" t="str">
        <f>'At-Risk Identification'!B15</f>
        <v>M_13</v>
      </c>
      <c r="C16" s="7" t="str">
        <f>'At-Risk Identification'!C15</f>
        <v>BUS301</v>
      </c>
      <c r="D16" s="7">
        <f>'At-Risk Identification'!D15</f>
        <v>4</v>
      </c>
      <c r="E16" s="7">
        <f>'At-Risk Identification'!G15</f>
        <v>60</v>
      </c>
      <c r="F16" s="7">
        <f>'At-Risk Identification'!J15</f>
        <v>80</v>
      </c>
      <c r="G16" s="7" t="str">
        <f>'At-Risk Identification'!K15</f>
        <v>Yes</v>
      </c>
      <c r="H16" s="7">
        <f>'At-Risk Identification'!N15</f>
        <v>0</v>
      </c>
      <c r="I16" s="7" t="str">
        <f>IF('At-Risk Identification'!M15="AT RISK","YES - Needs Follow Up","Resolved")</f>
        <v>Resolved</v>
      </c>
    </row>
    <row r="17" spans="1:9" x14ac:dyDescent="0.35">
      <c r="A17" s="3" t="str">
        <f>'At-Risk Identification'!A16</f>
        <v>AU00014</v>
      </c>
      <c r="B17" s="3" t="str">
        <f>'At-Risk Identification'!B16</f>
        <v>F_14</v>
      </c>
      <c r="C17" s="3" t="str">
        <f>'At-Risk Identification'!C16</f>
        <v>DAT401</v>
      </c>
      <c r="D17" s="3">
        <f>'At-Risk Identification'!D16</f>
        <v>8</v>
      </c>
      <c r="E17" s="3">
        <f>'At-Risk Identification'!G16</f>
        <v>70</v>
      </c>
      <c r="F17" s="3">
        <f>'At-Risk Identification'!J16</f>
        <v>80</v>
      </c>
      <c r="G17" s="3" t="str">
        <f>'At-Risk Identification'!K16</f>
        <v>Yes</v>
      </c>
      <c r="H17" s="3">
        <f>'At-Risk Identification'!N16</f>
        <v>0</v>
      </c>
      <c r="I17" s="3" t="str">
        <f>IF('At-Risk Identification'!M16="AT RISK","YES - Needs Follow Up","Resolved")</f>
        <v>Resolved</v>
      </c>
    </row>
    <row r="18" spans="1:9" x14ac:dyDescent="0.35">
      <c r="A18" s="7" t="str">
        <f>'At-Risk Identification'!A17</f>
        <v>AU00015</v>
      </c>
      <c r="B18" s="7" t="str">
        <f>'At-Risk Identification'!B17</f>
        <v>M_15</v>
      </c>
      <c r="C18" s="7" t="str">
        <f>'At-Risk Identification'!C17</f>
        <v>NET102</v>
      </c>
      <c r="D18" s="7">
        <f>'At-Risk Identification'!D17</f>
        <v>4</v>
      </c>
      <c r="E18" s="7">
        <f>'At-Risk Identification'!G17</f>
        <v>70</v>
      </c>
      <c r="F18" s="7">
        <f>'At-Risk Identification'!J17</f>
        <v>80</v>
      </c>
      <c r="G18" s="7" t="str">
        <f>'At-Risk Identification'!K17</f>
        <v>Yes</v>
      </c>
      <c r="H18" s="7">
        <f>'At-Risk Identification'!N17</f>
        <v>0</v>
      </c>
      <c r="I18" s="7" t="str">
        <f>IF('At-Risk Identification'!M17="AT RISK","YES - Needs Follow Up","Resolved")</f>
        <v>Resolved</v>
      </c>
    </row>
    <row r="19" spans="1:9" x14ac:dyDescent="0.35">
      <c r="A19" s="3" t="str">
        <f>'At-Risk Identification'!A18</f>
        <v>AU00016</v>
      </c>
      <c r="B19" s="3" t="str">
        <f>'At-Risk Identification'!B18</f>
        <v>M_16</v>
      </c>
      <c r="C19" s="3" t="str">
        <f>'At-Risk Identification'!C18</f>
        <v>MIS101</v>
      </c>
      <c r="D19" s="3">
        <f>'At-Risk Identification'!D18</f>
        <v>8</v>
      </c>
      <c r="E19" s="3">
        <f>'At-Risk Identification'!G18</f>
        <v>60</v>
      </c>
      <c r="F19" s="3">
        <f>'At-Risk Identification'!J18</f>
        <v>80</v>
      </c>
      <c r="G19" s="3" t="str">
        <f>'At-Risk Identification'!K18</f>
        <v>No</v>
      </c>
      <c r="H19" s="3">
        <f>'At-Risk Identification'!N18</f>
        <v>0</v>
      </c>
      <c r="I19" s="3" t="str">
        <f>IF('At-Risk Identification'!M18="AT RISK","YES - Needs Follow Up","Resolved")</f>
        <v>YES - Needs Follow Up</v>
      </c>
    </row>
    <row r="20" spans="1:9" x14ac:dyDescent="0.35">
      <c r="A20" s="7" t="str">
        <f>'At-Risk Identification'!A19</f>
        <v>AU00017</v>
      </c>
      <c r="B20" s="7" t="str">
        <f>'At-Risk Identification'!B19</f>
        <v>F_17</v>
      </c>
      <c r="C20" s="7" t="str">
        <f>'At-Risk Identification'!C19</f>
        <v>ICT202</v>
      </c>
      <c r="D20" s="7">
        <f>'At-Risk Identification'!D19</f>
        <v>4</v>
      </c>
      <c r="E20" s="7">
        <f>'At-Risk Identification'!G19</f>
        <v>80</v>
      </c>
      <c r="F20" s="7">
        <f>'At-Risk Identification'!J19</f>
        <v>60</v>
      </c>
      <c r="G20" s="7" t="str">
        <f>'At-Risk Identification'!K19</f>
        <v>Yes</v>
      </c>
      <c r="H20" s="7">
        <f>'At-Risk Identification'!N19</f>
        <v>0</v>
      </c>
      <c r="I20" s="7" t="str">
        <f>IF('At-Risk Identification'!M19="AT RISK","YES - Needs Follow Up","Resolved")</f>
        <v>Resolved</v>
      </c>
    </row>
    <row r="21" spans="1:9" x14ac:dyDescent="0.35">
      <c r="A21" s="3" t="str">
        <f>'At-Risk Identification'!A20</f>
        <v>AU00018</v>
      </c>
      <c r="B21" s="3" t="str">
        <f>'At-Risk Identification'!B20</f>
        <v>M_18</v>
      </c>
      <c r="C21" s="3" t="str">
        <f>'At-Risk Identification'!C20</f>
        <v>BUS301</v>
      </c>
      <c r="D21" s="3">
        <f>'At-Risk Identification'!D20</f>
        <v>8</v>
      </c>
      <c r="E21" s="3">
        <f>'At-Risk Identification'!G20</f>
        <v>70</v>
      </c>
      <c r="F21" s="3">
        <f>'At-Risk Identification'!J20</f>
        <v>80</v>
      </c>
      <c r="G21" s="3" t="str">
        <f>'At-Risk Identification'!K20</f>
        <v>Yes</v>
      </c>
      <c r="H21" s="3">
        <f>'At-Risk Identification'!N20</f>
        <v>0</v>
      </c>
      <c r="I21" s="3" t="str">
        <f>IF('At-Risk Identification'!M20="AT RISK","YES - Needs Follow Up","Resolved")</f>
        <v>Resolved</v>
      </c>
    </row>
    <row r="22" spans="1:9" x14ac:dyDescent="0.35">
      <c r="A22" s="7" t="str">
        <f>'At-Risk Identification'!A21</f>
        <v>AU00019</v>
      </c>
      <c r="B22" s="7" t="str">
        <f>'At-Risk Identification'!B21</f>
        <v>M_19</v>
      </c>
      <c r="C22" s="7" t="str">
        <f>'At-Risk Identification'!C21</f>
        <v>DAT401</v>
      </c>
      <c r="D22" s="7">
        <f>'At-Risk Identification'!D21</f>
        <v>4</v>
      </c>
      <c r="E22" s="7">
        <f>'At-Risk Identification'!G21</f>
        <v>60</v>
      </c>
      <c r="F22" s="7">
        <f>'At-Risk Identification'!J21</f>
        <v>60</v>
      </c>
      <c r="G22" s="7" t="str">
        <f>'At-Risk Identification'!K21</f>
        <v>Yes</v>
      </c>
      <c r="H22" s="7">
        <f>'At-Risk Identification'!N21</f>
        <v>0</v>
      </c>
      <c r="I22" s="7" t="str">
        <f>IF('At-Risk Identification'!M21="AT RISK","YES - Needs Follow Up","Resolved")</f>
        <v>Resolved</v>
      </c>
    </row>
    <row r="23" spans="1:9" x14ac:dyDescent="0.35">
      <c r="A23" s="3" t="str">
        <f>'At-Risk Identification'!A22</f>
        <v>AU00020</v>
      </c>
      <c r="B23" s="3" t="str">
        <f>'At-Risk Identification'!B22</f>
        <v>F_20</v>
      </c>
      <c r="C23" s="3" t="str">
        <f>'At-Risk Identification'!C22</f>
        <v>NET102</v>
      </c>
      <c r="D23" s="3">
        <f>'At-Risk Identification'!D22</f>
        <v>8</v>
      </c>
      <c r="E23" s="3">
        <f>'At-Risk Identification'!G22</f>
        <v>80</v>
      </c>
      <c r="F23" s="3">
        <f>'At-Risk Identification'!J22</f>
        <v>100</v>
      </c>
      <c r="G23" s="3" t="str">
        <f>'At-Risk Identification'!K22</f>
        <v>Yes</v>
      </c>
      <c r="H23" s="3">
        <f>'At-Risk Identification'!N22</f>
        <v>0</v>
      </c>
      <c r="I23" s="3" t="str">
        <f>IF('At-Risk Identification'!M22="AT RISK","YES - Needs Follow Up","Resolved")</f>
        <v>Resolved</v>
      </c>
    </row>
    <row r="24" spans="1:9" x14ac:dyDescent="0.35">
      <c r="A24" s="7" t="str">
        <f>'At-Risk Identification'!A23</f>
        <v>AU00021</v>
      </c>
      <c r="B24" s="7" t="str">
        <f>'At-Risk Identification'!B23</f>
        <v>F_21</v>
      </c>
      <c r="C24" s="7" t="str">
        <f>'At-Risk Identification'!C23</f>
        <v>MIS101</v>
      </c>
      <c r="D24" s="7">
        <f>'At-Risk Identification'!D23</f>
        <v>4</v>
      </c>
      <c r="E24" s="7">
        <f>'At-Risk Identification'!G23</f>
        <v>50</v>
      </c>
      <c r="F24" s="7">
        <f>'At-Risk Identification'!J23</f>
        <v>60</v>
      </c>
      <c r="G24" s="7" t="str">
        <f>'At-Risk Identification'!K23</f>
        <v>Yes</v>
      </c>
      <c r="H24" s="7">
        <f>'At-Risk Identification'!N23</f>
        <v>0</v>
      </c>
      <c r="I24" s="7" t="str">
        <f>IF('At-Risk Identification'!M23="AT RISK","YES - Needs Follow Up","Resolved")</f>
        <v>Resolved</v>
      </c>
    </row>
    <row r="25" spans="1:9" x14ac:dyDescent="0.35">
      <c r="A25" s="3" t="str">
        <f>'At-Risk Identification'!A24</f>
        <v>AU00022</v>
      </c>
      <c r="B25" s="3" t="str">
        <f>'At-Risk Identification'!B24</f>
        <v>M_22</v>
      </c>
      <c r="C25" s="3" t="str">
        <f>'At-Risk Identification'!C24</f>
        <v>ICT202</v>
      </c>
      <c r="D25" s="3">
        <f>'At-Risk Identification'!D24</f>
        <v>8</v>
      </c>
      <c r="E25" s="3">
        <f>'At-Risk Identification'!G24</f>
        <v>60</v>
      </c>
      <c r="F25" s="3">
        <f>'At-Risk Identification'!J24</f>
        <v>80</v>
      </c>
      <c r="G25" s="3" t="str">
        <f>'At-Risk Identification'!K24</f>
        <v>Yes</v>
      </c>
      <c r="H25" s="3">
        <f>'At-Risk Identification'!N24</f>
        <v>0</v>
      </c>
      <c r="I25" s="3" t="str">
        <f>IF('At-Risk Identification'!M24="AT RISK","YES - Needs Follow Up","Resolved")</f>
        <v>Resolved</v>
      </c>
    </row>
    <row r="26" spans="1:9" x14ac:dyDescent="0.35">
      <c r="A26" s="7" t="str">
        <f>'At-Risk Identification'!A25</f>
        <v>AU00023</v>
      </c>
      <c r="B26" s="7" t="str">
        <f>'At-Risk Identification'!B25</f>
        <v>M_23</v>
      </c>
      <c r="C26" s="7" t="str">
        <f>'At-Risk Identification'!C25</f>
        <v>BUS301</v>
      </c>
      <c r="D26" s="7">
        <f>'At-Risk Identification'!D25</f>
        <v>4</v>
      </c>
      <c r="E26" s="7">
        <f>'At-Risk Identification'!G25</f>
        <v>90</v>
      </c>
      <c r="F26" s="7">
        <f>'At-Risk Identification'!J25</f>
        <v>80</v>
      </c>
      <c r="G26" s="7" t="str">
        <f>'At-Risk Identification'!K25</f>
        <v>Yes</v>
      </c>
      <c r="H26" s="7">
        <f>'At-Risk Identification'!N25</f>
        <v>0</v>
      </c>
      <c r="I26" s="7" t="str">
        <f>IF('At-Risk Identification'!M25="AT RISK","YES - Needs Follow Up","Resolved")</f>
        <v>Resolved</v>
      </c>
    </row>
    <row r="27" spans="1:9" x14ac:dyDescent="0.35">
      <c r="A27" s="3" t="str">
        <f>'At-Risk Identification'!A26</f>
        <v>AU00024</v>
      </c>
      <c r="B27" s="3" t="str">
        <f>'At-Risk Identification'!B26</f>
        <v>M_24</v>
      </c>
      <c r="C27" s="3" t="str">
        <f>'At-Risk Identification'!C26</f>
        <v>DAT401</v>
      </c>
      <c r="D27" s="3">
        <f>'At-Risk Identification'!D26</f>
        <v>8</v>
      </c>
      <c r="E27" s="3">
        <f>'At-Risk Identification'!G26</f>
        <v>70</v>
      </c>
      <c r="F27" s="3">
        <f>'At-Risk Identification'!J26</f>
        <v>80</v>
      </c>
      <c r="G27" s="3" t="str">
        <f>'At-Risk Identification'!K26</f>
        <v>No</v>
      </c>
      <c r="H27" s="3">
        <f>'At-Risk Identification'!N26</f>
        <v>0</v>
      </c>
      <c r="I27" s="3" t="str">
        <f>IF('At-Risk Identification'!M26="AT RISK","YES - Needs Follow Up","Resolved")</f>
        <v>YES - Needs Follow Up</v>
      </c>
    </row>
    <row r="28" spans="1:9" x14ac:dyDescent="0.35">
      <c r="A28" s="7" t="str">
        <f>'At-Risk Identification'!A27</f>
        <v>AU00025</v>
      </c>
      <c r="B28" s="7" t="str">
        <f>'At-Risk Identification'!B27</f>
        <v>M_25</v>
      </c>
      <c r="C28" s="7" t="str">
        <f>'At-Risk Identification'!C27</f>
        <v>NET102</v>
      </c>
      <c r="D28" s="7">
        <f>'At-Risk Identification'!D27</f>
        <v>4</v>
      </c>
      <c r="E28" s="7">
        <f>'At-Risk Identification'!G27</f>
        <v>60</v>
      </c>
      <c r="F28" s="7">
        <f>'At-Risk Identification'!J27</f>
        <v>60</v>
      </c>
      <c r="G28" s="7" t="str">
        <f>'At-Risk Identification'!K27</f>
        <v>Yes</v>
      </c>
      <c r="H28" s="7">
        <f>'At-Risk Identification'!N27</f>
        <v>0</v>
      </c>
      <c r="I28" s="7" t="str">
        <f>IF('At-Risk Identification'!M27="AT RISK","YES - Needs Follow Up","Resolved")</f>
        <v>Resolved</v>
      </c>
    </row>
    <row r="29" spans="1:9" x14ac:dyDescent="0.35">
      <c r="A29" s="3" t="str">
        <f>'At-Risk Identification'!A28</f>
        <v>AU00026</v>
      </c>
      <c r="B29" s="3" t="str">
        <f>'At-Risk Identification'!B28</f>
        <v>F_26</v>
      </c>
      <c r="C29" s="3" t="str">
        <f>'At-Risk Identification'!C28</f>
        <v>MIS101</v>
      </c>
      <c r="D29" s="3">
        <f>'At-Risk Identification'!D28</f>
        <v>8</v>
      </c>
      <c r="E29" s="3">
        <f>'At-Risk Identification'!G28</f>
        <v>60</v>
      </c>
      <c r="F29" s="3">
        <f>'At-Risk Identification'!J28</f>
        <v>80</v>
      </c>
      <c r="G29" s="3" t="str">
        <f>'At-Risk Identification'!K28</f>
        <v>Yes</v>
      </c>
      <c r="H29" s="3">
        <f>'At-Risk Identification'!N28</f>
        <v>0</v>
      </c>
      <c r="I29" s="3" t="str">
        <f>IF('At-Risk Identification'!M28="AT RISK","YES - Needs Follow Up","Resolved")</f>
        <v>Resolved</v>
      </c>
    </row>
    <row r="30" spans="1:9" x14ac:dyDescent="0.35">
      <c r="A30" s="7" t="str">
        <f>'At-Risk Identification'!A29</f>
        <v>AU00027</v>
      </c>
      <c r="B30" s="7" t="str">
        <f>'At-Risk Identification'!B29</f>
        <v>M_27</v>
      </c>
      <c r="C30" s="7" t="str">
        <f>'At-Risk Identification'!C29</f>
        <v>ICT202</v>
      </c>
      <c r="D30" s="7">
        <f>'At-Risk Identification'!D29</f>
        <v>4</v>
      </c>
      <c r="E30" s="7">
        <f>'At-Risk Identification'!G29</f>
        <v>90</v>
      </c>
      <c r="F30" s="7">
        <f>'At-Risk Identification'!J29</f>
        <v>100</v>
      </c>
      <c r="G30" s="7" t="str">
        <f>'At-Risk Identification'!K29</f>
        <v>Yes</v>
      </c>
      <c r="H30" s="7">
        <f>'At-Risk Identification'!N29</f>
        <v>0</v>
      </c>
      <c r="I30" s="7" t="str">
        <f>IF('At-Risk Identification'!M29="AT RISK","YES - Needs Follow Up","Resolved")</f>
        <v>Resolved</v>
      </c>
    </row>
    <row r="31" spans="1:9" x14ac:dyDescent="0.35">
      <c r="A31" s="3" t="str">
        <f>'At-Risk Identification'!A30</f>
        <v>AU00028</v>
      </c>
      <c r="B31" s="3" t="str">
        <f>'At-Risk Identification'!B30</f>
        <v>M_28</v>
      </c>
      <c r="C31" s="3" t="str">
        <f>'At-Risk Identification'!C30</f>
        <v>BUS301</v>
      </c>
      <c r="D31" s="3">
        <f>'At-Risk Identification'!D30</f>
        <v>8</v>
      </c>
      <c r="E31" s="3">
        <f>'At-Risk Identification'!G30</f>
        <v>90</v>
      </c>
      <c r="F31" s="3">
        <f>'At-Risk Identification'!J30</f>
        <v>100</v>
      </c>
      <c r="G31" s="3" t="str">
        <f>'At-Risk Identification'!K30</f>
        <v>Yes</v>
      </c>
      <c r="H31" s="3">
        <f>'At-Risk Identification'!N30</f>
        <v>0</v>
      </c>
      <c r="I31" s="3" t="str">
        <f>IF('At-Risk Identification'!M30="AT RISK","YES - Needs Follow Up","Resolved")</f>
        <v>Resolved</v>
      </c>
    </row>
    <row r="32" spans="1:9" x14ac:dyDescent="0.35">
      <c r="A32" s="7" t="str">
        <f>'At-Risk Identification'!A31</f>
        <v>AU00029</v>
      </c>
      <c r="B32" s="7" t="str">
        <f>'At-Risk Identification'!B31</f>
        <v>F_29</v>
      </c>
      <c r="C32" s="7" t="str">
        <f>'At-Risk Identification'!C31</f>
        <v>DAT401</v>
      </c>
      <c r="D32" s="7">
        <f>'At-Risk Identification'!D31</f>
        <v>4</v>
      </c>
      <c r="E32" s="7">
        <f>'At-Risk Identification'!G31</f>
        <v>80</v>
      </c>
      <c r="F32" s="7">
        <f>'At-Risk Identification'!J31</f>
        <v>100</v>
      </c>
      <c r="G32" s="7" t="str">
        <f>'At-Risk Identification'!K31</f>
        <v>Yes</v>
      </c>
      <c r="H32" s="7">
        <f>'At-Risk Identification'!N31</f>
        <v>0</v>
      </c>
      <c r="I32" s="7" t="str">
        <f>IF('At-Risk Identification'!M31="AT RISK","YES - Needs Follow Up","Resolved")</f>
        <v>Resolved</v>
      </c>
    </row>
    <row r="33" spans="1:9" x14ac:dyDescent="0.35">
      <c r="A33" s="3" t="str">
        <f>'At-Risk Identification'!A32</f>
        <v>AU00030</v>
      </c>
      <c r="B33" s="3" t="str">
        <f>'At-Risk Identification'!B32</f>
        <v>F_30</v>
      </c>
      <c r="C33" s="3" t="str">
        <f>'At-Risk Identification'!C32</f>
        <v>NET102</v>
      </c>
      <c r="D33" s="3">
        <f>'At-Risk Identification'!D32</f>
        <v>8</v>
      </c>
      <c r="E33" s="3">
        <f>'At-Risk Identification'!G32</f>
        <v>60</v>
      </c>
      <c r="F33" s="3">
        <f>'At-Risk Identification'!J32</f>
        <v>80</v>
      </c>
      <c r="G33" s="3" t="str">
        <f>'At-Risk Identification'!K32</f>
        <v>Yes</v>
      </c>
      <c r="H33" s="3">
        <f>'At-Risk Identification'!N32</f>
        <v>0</v>
      </c>
      <c r="I33" s="3" t="str">
        <f>IF('At-Risk Identification'!M32="AT RISK","YES - Needs Follow Up","Resolved")</f>
        <v>Resolved</v>
      </c>
    </row>
    <row r="34" spans="1:9" x14ac:dyDescent="0.35">
      <c r="A34" s="7" t="str">
        <f>'At-Risk Identification'!A33</f>
        <v>AU00031</v>
      </c>
      <c r="B34" s="7" t="str">
        <f>'At-Risk Identification'!B33</f>
        <v>M_31</v>
      </c>
      <c r="C34" s="7" t="str">
        <f>'At-Risk Identification'!C33</f>
        <v>MIS101</v>
      </c>
      <c r="D34" s="7">
        <f>'At-Risk Identification'!D33</f>
        <v>4</v>
      </c>
      <c r="E34" s="7">
        <f>'At-Risk Identification'!G33</f>
        <v>90</v>
      </c>
      <c r="F34" s="7">
        <f>'At-Risk Identification'!J33</f>
        <v>100</v>
      </c>
      <c r="G34" s="7" t="str">
        <f>'At-Risk Identification'!K33</f>
        <v>No</v>
      </c>
      <c r="H34" s="7">
        <f>'At-Risk Identification'!N33</f>
        <v>0</v>
      </c>
      <c r="I34" s="7" t="str">
        <f>IF('At-Risk Identification'!M33="AT RISK","YES - Needs Follow Up","Resolved")</f>
        <v>YES - Needs Follow Up</v>
      </c>
    </row>
    <row r="35" spans="1:9" x14ac:dyDescent="0.35">
      <c r="A35" s="3" t="str">
        <f>'At-Risk Identification'!A34</f>
        <v>AU00032</v>
      </c>
      <c r="B35" s="3" t="str">
        <f>'At-Risk Identification'!B34</f>
        <v>M_32</v>
      </c>
      <c r="C35" s="3" t="str">
        <f>'At-Risk Identification'!C34</f>
        <v>ICT202</v>
      </c>
      <c r="D35" s="3">
        <f>'At-Risk Identification'!D34</f>
        <v>8</v>
      </c>
      <c r="E35" s="3">
        <f>'At-Risk Identification'!G34</f>
        <v>70</v>
      </c>
      <c r="F35" s="3">
        <f>'At-Risk Identification'!J34</f>
        <v>80</v>
      </c>
      <c r="G35" s="3" t="str">
        <f>'At-Risk Identification'!K34</f>
        <v>Yes</v>
      </c>
      <c r="H35" s="3">
        <f>'At-Risk Identification'!N34</f>
        <v>0</v>
      </c>
      <c r="I35" s="3" t="str">
        <f>IF('At-Risk Identification'!M34="AT RISK","YES - Needs Follow Up","Resolved")</f>
        <v>Resolved</v>
      </c>
    </row>
    <row r="36" spans="1:9" x14ac:dyDescent="0.35">
      <c r="A36" s="7" t="str">
        <f>'At-Risk Identification'!A35</f>
        <v>AU00033</v>
      </c>
      <c r="B36" s="7" t="str">
        <f>'At-Risk Identification'!B35</f>
        <v>F_33</v>
      </c>
      <c r="C36" s="7" t="str">
        <f>'At-Risk Identification'!C35</f>
        <v>BUS301</v>
      </c>
      <c r="D36" s="7">
        <f>'At-Risk Identification'!D35</f>
        <v>4</v>
      </c>
      <c r="E36" s="7">
        <f>'At-Risk Identification'!G35</f>
        <v>80</v>
      </c>
      <c r="F36" s="7">
        <f>'At-Risk Identification'!J35</f>
        <v>60</v>
      </c>
      <c r="G36" s="7" t="str">
        <f>'At-Risk Identification'!K35</f>
        <v>No</v>
      </c>
      <c r="H36" s="7">
        <f>'At-Risk Identification'!N35</f>
        <v>0</v>
      </c>
      <c r="I36" s="7" t="str">
        <f>IF('At-Risk Identification'!M35="AT RISK","YES - Needs Follow Up","Resolved")</f>
        <v>YES - Needs Follow Up</v>
      </c>
    </row>
    <row r="37" spans="1:9" x14ac:dyDescent="0.35">
      <c r="A37" s="3" t="str">
        <f>'At-Risk Identification'!A36</f>
        <v>AU00034</v>
      </c>
      <c r="B37" s="3" t="str">
        <f>'At-Risk Identification'!B36</f>
        <v>F_34</v>
      </c>
      <c r="C37" s="3" t="str">
        <f>'At-Risk Identification'!C36</f>
        <v>DAT401</v>
      </c>
      <c r="D37" s="3">
        <f>'At-Risk Identification'!D36</f>
        <v>8</v>
      </c>
      <c r="E37" s="3">
        <f>'At-Risk Identification'!G36</f>
        <v>90</v>
      </c>
      <c r="F37" s="3">
        <f>'At-Risk Identification'!J36</f>
        <v>60</v>
      </c>
      <c r="G37" s="3" t="str">
        <f>'At-Risk Identification'!K36</f>
        <v>Yes</v>
      </c>
      <c r="H37" s="3">
        <f>'At-Risk Identification'!N36</f>
        <v>0</v>
      </c>
      <c r="I37" s="3" t="str">
        <f>IF('At-Risk Identification'!M36="AT RISK","YES - Needs Follow Up","Resolved")</f>
        <v>Resolved</v>
      </c>
    </row>
    <row r="38" spans="1:9" x14ac:dyDescent="0.35">
      <c r="A38" s="7" t="str">
        <f>'At-Risk Identification'!A37</f>
        <v>AU00035</v>
      </c>
      <c r="B38" s="7" t="str">
        <f>'At-Risk Identification'!B37</f>
        <v>M_35</v>
      </c>
      <c r="C38" s="7" t="str">
        <f>'At-Risk Identification'!C37</f>
        <v>NET102</v>
      </c>
      <c r="D38" s="7">
        <f>'At-Risk Identification'!D37</f>
        <v>4</v>
      </c>
      <c r="E38" s="7">
        <f>'At-Risk Identification'!G37</f>
        <v>80</v>
      </c>
      <c r="F38" s="7">
        <f>'At-Risk Identification'!J37</f>
        <v>100</v>
      </c>
      <c r="G38" s="7" t="str">
        <f>'At-Risk Identification'!K37</f>
        <v>Yes</v>
      </c>
      <c r="H38" s="7">
        <f>'At-Risk Identification'!N37</f>
        <v>0</v>
      </c>
      <c r="I38" s="7" t="str">
        <f>IF('At-Risk Identification'!M37="AT RISK","YES - Needs Follow Up","Resolved")</f>
        <v>Resolved</v>
      </c>
    </row>
    <row r="39" spans="1:9" x14ac:dyDescent="0.35">
      <c r="A39" s="3" t="str">
        <f>'At-Risk Identification'!A38</f>
        <v>AU00036</v>
      </c>
      <c r="B39" s="3" t="str">
        <f>'At-Risk Identification'!B38</f>
        <v>M_36</v>
      </c>
      <c r="C39" s="3" t="str">
        <f>'At-Risk Identification'!C38</f>
        <v>MIS101</v>
      </c>
      <c r="D39" s="3">
        <f>'At-Risk Identification'!D38</f>
        <v>8</v>
      </c>
      <c r="E39" s="3">
        <f>'At-Risk Identification'!G38</f>
        <v>70</v>
      </c>
      <c r="F39" s="3">
        <f>'At-Risk Identification'!J38</f>
        <v>100</v>
      </c>
      <c r="G39" s="3" t="str">
        <f>'At-Risk Identification'!K38</f>
        <v>No</v>
      </c>
      <c r="H39" s="3">
        <f>'At-Risk Identification'!N38</f>
        <v>0</v>
      </c>
      <c r="I39" s="3" t="str">
        <f>IF('At-Risk Identification'!M38="AT RISK","YES - Needs Follow Up","Resolved")</f>
        <v>YES - Needs Follow Up</v>
      </c>
    </row>
    <row r="40" spans="1:9" x14ac:dyDescent="0.35">
      <c r="A40" s="7" t="str">
        <f>'At-Risk Identification'!A39</f>
        <v>AU00037</v>
      </c>
      <c r="B40" s="7" t="str">
        <f>'At-Risk Identification'!B39</f>
        <v>M_37</v>
      </c>
      <c r="C40" s="7" t="str">
        <f>'At-Risk Identification'!C39</f>
        <v>ICT202</v>
      </c>
      <c r="D40" s="7">
        <f>'At-Risk Identification'!D39</f>
        <v>4</v>
      </c>
      <c r="E40" s="7">
        <f>'At-Risk Identification'!G39</f>
        <v>60</v>
      </c>
      <c r="F40" s="7">
        <f>'At-Risk Identification'!J39</f>
        <v>80</v>
      </c>
      <c r="G40" s="7" t="str">
        <f>'At-Risk Identification'!K39</f>
        <v>Yes</v>
      </c>
      <c r="H40" s="7">
        <f>'At-Risk Identification'!N39</f>
        <v>0</v>
      </c>
      <c r="I40" s="7" t="str">
        <f>IF('At-Risk Identification'!M39="AT RISK","YES - Needs Follow Up","Resolved")</f>
        <v>Resolved</v>
      </c>
    </row>
    <row r="41" spans="1:9" x14ac:dyDescent="0.35">
      <c r="A41" s="3" t="str">
        <f>'At-Risk Identification'!A40</f>
        <v>AU00038</v>
      </c>
      <c r="B41" s="3" t="str">
        <f>'At-Risk Identification'!B40</f>
        <v>M_38</v>
      </c>
      <c r="C41" s="3" t="str">
        <f>'At-Risk Identification'!C40</f>
        <v>BUS301</v>
      </c>
      <c r="D41" s="3">
        <f>'At-Risk Identification'!D40</f>
        <v>8</v>
      </c>
      <c r="E41" s="3">
        <f>'At-Risk Identification'!G40</f>
        <v>80</v>
      </c>
      <c r="F41" s="3">
        <f>'At-Risk Identification'!J40</f>
        <v>100</v>
      </c>
      <c r="G41" s="3" t="str">
        <f>'At-Risk Identification'!K40</f>
        <v>Yes</v>
      </c>
      <c r="H41" s="3">
        <f>'At-Risk Identification'!N40</f>
        <v>0</v>
      </c>
      <c r="I41" s="3" t="str">
        <f>IF('At-Risk Identification'!M40="AT RISK","YES - Needs Follow Up","Resolved")</f>
        <v>Resolved</v>
      </c>
    </row>
    <row r="42" spans="1:9" x14ac:dyDescent="0.35">
      <c r="A42" s="7" t="str">
        <f>'At-Risk Identification'!A41</f>
        <v>AU00039</v>
      </c>
      <c r="B42" s="7" t="str">
        <f>'At-Risk Identification'!B41</f>
        <v>F_39</v>
      </c>
      <c r="C42" s="7" t="str">
        <f>'At-Risk Identification'!C41</f>
        <v>DAT401</v>
      </c>
      <c r="D42" s="7">
        <f>'At-Risk Identification'!D41</f>
        <v>4</v>
      </c>
      <c r="E42" s="7">
        <f>'At-Risk Identification'!G41</f>
        <v>70</v>
      </c>
      <c r="F42" s="7">
        <f>'At-Risk Identification'!J41</f>
        <v>60</v>
      </c>
      <c r="G42" s="7" t="str">
        <f>'At-Risk Identification'!K41</f>
        <v>Yes</v>
      </c>
      <c r="H42" s="7">
        <f>'At-Risk Identification'!N41</f>
        <v>0</v>
      </c>
      <c r="I42" s="7" t="str">
        <f>IF('At-Risk Identification'!M41="AT RISK","YES - Needs Follow Up","Resolved")</f>
        <v>Resolved</v>
      </c>
    </row>
    <row r="43" spans="1:9" x14ac:dyDescent="0.35">
      <c r="A43" s="3" t="str">
        <f>'At-Risk Identification'!A42</f>
        <v>AU00040</v>
      </c>
      <c r="B43" s="3" t="str">
        <f>'At-Risk Identification'!B42</f>
        <v>M_40</v>
      </c>
      <c r="C43" s="3" t="str">
        <f>'At-Risk Identification'!C42</f>
        <v>NET102</v>
      </c>
      <c r="D43" s="3">
        <f>'At-Risk Identification'!D42</f>
        <v>8</v>
      </c>
      <c r="E43" s="3">
        <f>'At-Risk Identification'!G42</f>
        <v>100</v>
      </c>
      <c r="F43" s="3">
        <f>'At-Risk Identification'!J42</f>
        <v>60</v>
      </c>
      <c r="G43" s="3" t="str">
        <f>'At-Risk Identification'!K42</f>
        <v>No</v>
      </c>
      <c r="H43" s="3">
        <f>'At-Risk Identification'!N42</f>
        <v>0</v>
      </c>
      <c r="I43" s="3" t="str">
        <f>IF('At-Risk Identification'!M42="AT RISK","YES - Needs Follow Up","Resolved")</f>
        <v>YES - Needs Follow Up</v>
      </c>
    </row>
    <row r="44" spans="1:9" x14ac:dyDescent="0.35">
      <c r="A44" s="7" t="str">
        <f>'At-Risk Identification'!A43</f>
        <v>AU00041</v>
      </c>
      <c r="B44" s="7" t="str">
        <f>'At-Risk Identification'!B43</f>
        <v>F_41</v>
      </c>
      <c r="C44" s="7" t="str">
        <f>'At-Risk Identification'!C43</f>
        <v>MIS101</v>
      </c>
      <c r="D44" s="7">
        <f>'At-Risk Identification'!D43</f>
        <v>4</v>
      </c>
      <c r="E44" s="7">
        <f>'At-Risk Identification'!G43</f>
        <v>100</v>
      </c>
      <c r="F44" s="7">
        <f>'At-Risk Identification'!J43</f>
        <v>60</v>
      </c>
      <c r="G44" s="7" t="str">
        <f>'At-Risk Identification'!K43</f>
        <v>Yes</v>
      </c>
      <c r="H44" s="7">
        <f>'At-Risk Identification'!N43</f>
        <v>0</v>
      </c>
      <c r="I44" s="7" t="str">
        <f>IF('At-Risk Identification'!M43="AT RISK","YES - Needs Follow Up","Resolved")</f>
        <v>Resolved</v>
      </c>
    </row>
    <row r="45" spans="1:9" x14ac:dyDescent="0.35">
      <c r="A45" s="3" t="str">
        <f>'At-Risk Identification'!A44</f>
        <v>AU00042</v>
      </c>
      <c r="B45" s="3" t="str">
        <f>'At-Risk Identification'!B44</f>
        <v>M_42</v>
      </c>
      <c r="C45" s="3" t="str">
        <f>'At-Risk Identification'!C44</f>
        <v>ICT202</v>
      </c>
      <c r="D45" s="3">
        <f>'At-Risk Identification'!D44</f>
        <v>8</v>
      </c>
      <c r="E45" s="3">
        <f>'At-Risk Identification'!G44</f>
        <v>80</v>
      </c>
      <c r="F45" s="3">
        <f>'At-Risk Identification'!J44</f>
        <v>60</v>
      </c>
      <c r="G45" s="3" t="str">
        <f>'At-Risk Identification'!K44</f>
        <v>Yes</v>
      </c>
      <c r="H45" s="3">
        <f>'At-Risk Identification'!N44</f>
        <v>0</v>
      </c>
      <c r="I45" s="3" t="str">
        <f>IF('At-Risk Identification'!M44="AT RISK","YES - Needs Follow Up","Resolved")</f>
        <v>Resolved</v>
      </c>
    </row>
    <row r="46" spans="1:9" x14ac:dyDescent="0.35">
      <c r="A46" s="7" t="str">
        <f>'At-Risk Identification'!A45</f>
        <v>AU00043</v>
      </c>
      <c r="B46" s="7" t="str">
        <f>'At-Risk Identification'!B45</f>
        <v>M_43</v>
      </c>
      <c r="C46" s="7" t="str">
        <f>'At-Risk Identification'!C45</f>
        <v>BUS301</v>
      </c>
      <c r="D46" s="7">
        <f>'At-Risk Identification'!D45</f>
        <v>4</v>
      </c>
      <c r="E46" s="7">
        <f>'At-Risk Identification'!G45</f>
        <v>90</v>
      </c>
      <c r="F46" s="7">
        <f>'At-Risk Identification'!J45</f>
        <v>100</v>
      </c>
      <c r="G46" s="7" t="str">
        <f>'At-Risk Identification'!K45</f>
        <v>Yes</v>
      </c>
      <c r="H46" s="7">
        <f>'At-Risk Identification'!N45</f>
        <v>0</v>
      </c>
      <c r="I46" s="7" t="str">
        <f>IF('At-Risk Identification'!M45="AT RISK","YES - Needs Follow Up","Resolved")</f>
        <v>Resolved</v>
      </c>
    </row>
    <row r="47" spans="1:9" x14ac:dyDescent="0.35">
      <c r="A47" s="3" t="str">
        <f>'At-Risk Identification'!A46</f>
        <v>AU00044</v>
      </c>
      <c r="B47" s="3" t="str">
        <f>'At-Risk Identification'!B46</f>
        <v>M_44</v>
      </c>
      <c r="C47" s="3" t="str">
        <f>'At-Risk Identification'!C46</f>
        <v>DAT401</v>
      </c>
      <c r="D47" s="3">
        <f>'At-Risk Identification'!D46</f>
        <v>8</v>
      </c>
      <c r="E47" s="3">
        <f>'At-Risk Identification'!G46</f>
        <v>50</v>
      </c>
      <c r="F47" s="3">
        <f>'At-Risk Identification'!J46</f>
        <v>60</v>
      </c>
      <c r="G47" s="3" t="str">
        <f>'At-Risk Identification'!K46</f>
        <v>No</v>
      </c>
      <c r="H47" s="3">
        <f>'At-Risk Identification'!N46</f>
        <v>0</v>
      </c>
      <c r="I47" s="3" t="str">
        <f>IF('At-Risk Identification'!M46="AT RISK","YES - Needs Follow Up","Resolved")</f>
        <v>YES - Needs Follow Up</v>
      </c>
    </row>
    <row r="48" spans="1:9" x14ac:dyDescent="0.35">
      <c r="A48" s="7" t="str">
        <f>'At-Risk Identification'!A47</f>
        <v>AU00045</v>
      </c>
      <c r="B48" s="7" t="str">
        <f>'At-Risk Identification'!B47</f>
        <v>F_45</v>
      </c>
      <c r="C48" s="7" t="str">
        <f>'At-Risk Identification'!C47</f>
        <v>NET102</v>
      </c>
      <c r="D48" s="7">
        <f>'At-Risk Identification'!D47</f>
        <v>4</v>
      </c>
      <c r="E48" s="7">
        <f>'At-Risk Identification'!G47</f>
        <v>60</v>
      </c>
      <c r="F48" s="7">
        <f>'At-Risk Identification'!J47</f>
        <v>80</v>
      </c>
      <c r="G48" s="7" t="str">
        <f>'At-Risk Identification'!K47</f>
        <v>Yes</v>
      </c>
      <c r="H48" s="7">
        <f>'At-Risk Identification'!N47</f>
        <v>0</v>
      </c>
      <c r="I48" s="7" t="str">
        <f>IF('At-Risk Identification'!M47="AT RISK","YES - Needs Follow Up","Resolved")</f>
        <v>Resolved</v>
      </c>
    </row>
    <row r="49" spans="1:9" x14ac:dyDescent="0.35">
      <c r="A49" s="3" t="str">
        <f>'At-Risk Identification'!A48</f>
        <v>AU00046</v>
      </c>
      <c r="B49" s="3" t="str">
        <f>'At-Risk Identification'!B48</f>
        <v>M_46</v>
      </c>
      <c r="C49" s="3" t="str">
        <f>'At-Risk Identification'!C48</f>
        <v>MIS101</v>
      </c>
      <c r="D49" s="3">
        <f>'At-Risk Identification'!D48</f>
        <v>8</v>
      </c>
      <c r="E49" s="3">
        <f>'At-Risk Identification'!G48</f>
        <v>90</v>
      </c>
      <c r="F49" s="3">
        <f>'At-Risk Identification'!J48</f>
        <v>80</v>
      </c>
      <c r="G49" s="3" t="str">
        <f>'At-Risk Identification'!K48</f>
        <v>Yes</v>
      </c>
      <c r="H49" s="3">
        <f>'At-Risk Identification'!N48</f>
        <v>0</v>
      </c>
      <c r="I49" s="3" t="str">
        <f>IF('At-Risk Identification'!M48="AT RISK","YES - Needs Follow Up","Resolved")</f>
        <v>Resolved</v>
      </c>
    </row>
    <row r="50" spans="1:9" x14ac:dyDescent="0.35">
      <c r="A50" s="7" t="str">
        <f>'At-Risk Identification'!A49</f>
        <v>AU00047</v>
      </c>
      <c r="B50" s="7" t="str">
        <f>'At-Risk Identification'!B49</f>
        <v>F_47</v>
      </c>
      <c r="C50" s="7" t="str">
        <f>'At-Risk Identification'!C49</f>
        <v>ICT202</v>
      </c>
      <c r="D50" s="7">
        <f>'At-Risk Identification'!D49</f>
        <v>4</v>
      </c>
      <c r="E50" s="7">
        <f>'At-Risk Identification'!G49</f>
        <v>100</v>
      </c>
      <c r="F50" s="7">
        <f>'At-Risk Identification'!J49</f>
        <v>100</v>
      </c>
      <c r="G50" s="7" t="str">
        <f>'At-Risk Identification'!K49</f>
        <v>Yes</v>
      </c>
      <c r="H50" s="7">
        <f>'At-Risk Identification'!N49</f>
        <v>0</v>
      </c>
      <c r="I50" s="7" t="str">
        <f>IF('At-Risk Identification'!M49="AT RISK","YES - Needs Follow Up","Resolved")</f>
        <v>Resolved</v>
      </c>
    </row>
    <row r="51" spans="1:9" x14ac:dyDescent="0.35">
      <c r="A51" s="3" t="str">
        <f>'At-Risk Identification'!A50</f>
        <v>AU00048</v>
      </c>
      <c r="B51" s="3" t="str">
        <f>'At-Risk Identification'!B50</f>
        <v>M_48</v>
      </c>
      <c r="C51" s="3" t="str">
        <f>'At-Risk Identification'!C50</f>
        <v>BUS301</v>
      </c>
      <c r="D51" s="3">
        <f>'At-Risk Identification'!D50</f>
        <v>8</v>
      </c>
      <c r="E51" s="3">
        <f>'At-Risk Identification'!G50</f>
        <v>70</v>
      </c>
      <c r="F51" s="3">
        <f>'At-Risk Identification'!J50</f>
        <v>80</v>
      </c>
      <c r="G51" s="3" t="str">
        <f>'At-Risk Identification'!K50</f>
        <v>Yes</v>
      </c>
      <c r="H51" s="3">
        <f>'At-Risk Identification'!N50</f>
        <v>0</v>
      </c>
      <c r="I51" s="3" t="str">
        <f>IF('At-Risk Identification'!M50="AT RISK","YES - Needs Follow Up","Resolved")</f>
        <v>Resolved</v>
      </c>
    </row>
    <row r="52" spans="1:9" x14ac:dyDescent="0.35">
      <c r="A52" s="7" t="str">
        <f>'At-Risk Identification'!A51</f>
        <v>AU00049</v>
      </c>
      <c r="B52" s="7" t="str">
        <f>'At-Risk Identification'!B51</f>
        <v>F_49</v>
      </c>
      <c r="C52" s="7" t="str">
        <f>'At-Risk Identification'!C51</f>
        <v>DAT401</v>
      </c>
      <c r="D52" s="7">
        <f>'At-Risk Identification'!D51</f>
        <v>4</v>
      </c>
      <c r="E52" s="7">
        <f>'At-Risk Identification'!G51</f>
        <v>50</v>
      </c>
      <c r="F52" s="7">
        <f>'At-Risk Identification'!J51</f>
        <v>60</v>
      </c>
      <c r="G52" s="7" t="str">
        <f>'At-Risk Identification'!K51</f>
        <v>No</v>
      </c>
      <c r="H52" s="7">
        <f>'At-Risk Identification'!N51</f>
        <v>0</v>
      </c>
      <c r="I52" s="7" t="str">
        <f>IF('At-Risk Identification'!M51="AT RISK","YES - Needs Follow Up","Resolved")</f>
        <v>YES - Needs Follow Up</v>
      </c>
    </row>
    <row r="53" spans="1:9" x14ac:dyDescent="0.35">
      <c r="A53" s="3" t="str">
        <f>'At-Risk Identification'!A52</f>
        <v>AU00050</v>
      </c>
      <c r="B53" s="3" t="str">
        <f>'At-Risk Identification'!B52</f>
        <v>M_50</v>
      </c>
      <c r="C53" s="3" t="str">
        <f>'At-Risk Identification'!C52</f>
        <v>NET102</v>
      </c>
      <c r="D53" s="3">
        <f>'At-Risk Identification'!D52</f>
        <v>8</v>
      </c>
      <c r="E53" s="3">
        <f>'At-Risk Identification'!G52</f>
        <v>60</v>
      </c>
      <c r="F53" s="3">
        <f>'At-Risk Identification'!J52</f>
        <v>100</v>
      </c>
      <c r="G53" s="3" t="str">
        <f>'At-Risk Identification'!K52</f>
        <v>Yes</v>
      </c>
      <c r="H53" s="3">
        <f>'At-Risk Identification'!N52</f>
        <v>0</v>
      </c>
      <c r="I53" s="3" t="str">
        <f>IF('At-Risk Identification'!M52="AT RISK","YES - Needs Follow Up","Resolved")</f>
        <v>Resolved</v>
      </c>
    </row>
    <row r="56" spans="1:9" ht="22" customHeight="1" x14ac:dyDescent="0.35">
      <c r="A56" s="14" t="s">
        <v>163</v>
      </c>
      <c r="B56" s="11"/>
      <c r="C56" s="11"/>
      <c r="D56" s="11"/>
      <c r="E56" s="11"/>
      <c r="F56" s="11"/>
      <c r="G56" s="11"/>
      <c r="H56" s="11"/>
      <c r="I56" s="11"/>
    </row>
    <row r="57" spans="1:9" x14ac:dyDescent="0.35">
      <c r="A57" s="8" t="s">
        <v>164</v>
      </c>
      <c r="B57" s="9">
        <f>COUNTA(A4:A53)</f>
        <v>50</v>
      </c>
      <c r="C57" s="8" t="s">
        <v>165</v>
      </c>
      <c r="D57" s="9">
        <f>COUNTIF(I4:I53,"YES - Needs Follow Up")</f>
        <v>11</v>
      </c>
      <c r="E57" s="8" t="s">
        <v>166</v>
      </c>
      <c r="F57" s="9">
        <f>COUNTIF(I4:I53,"Resolved")</f>
        <v>39</v>
      </c>
      <c r="G57" s="8" t="s">
        <v>167</v>
      </c>
      <c r="H57" s="9">
        <f>IFERROR(D57/B57*100,0)</f>
        <v>22</v>
      </c>
    </row>
  </sheetData>
  <mergeCells count="3">
    <mergeCell ref="A1:I1"/>
    <mergeCell ref="A56:I56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At-Risk Identification</vt:lpstr>
      <vt:lpstr>Consolidated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moniba mehmood</cp:lastModifiedBy>
  <dcterms:created xsi:type="dcterms:W3CDTF">2026-03-25T19:32:49Z</dcterms:created>
  <dcterms:modified xsi:type="dcterms:W3CDTF">2026-03-25T19:34:29Z</dcterms:modified>
</cp:coreProperties>
</file>